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725" documentId="11_F25DC773A252ABDACC104814115B78685BDE58F3" xr6:coauthVersionLast="47" xr6:coauthVersionMax="47" xr10:uidLastSave="{04C06A70-17D4-46C8-B092-B0607E10103D}"/>
  <bookViews>
    <workbookView xWindow="-105" yWindow="0" windowWidth="25815" windowHeight="15585" xr2:uid="{00000000-000D-0000-FFFF-FFFF00000000}"/>
  </bookViews>
  <sheets>
    <sheet name="Coursses" sheetId="1" r:id="rId1"/>
  </sheets>
  <externalReferences>
    <externalReference r:id="rId2"/>
  </externalReferences>
  <definedNames>
    <definedName name="_xlnm._FilterDatabase" localSheetId="0" hidden="1">Coursses!$A$1:$K$133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6" i="1" l="1"/>
  <c r="J228" i="1"/>
  <c r="I228" i="1"/>
  <c r="H228" i="1"/>
  <c r="G228" i="1"/>
  <c r="F228" i="1"/>
  <c r="E228" i="1"/>
  <c r="D228" i="1"/>
  <c r="C228" i="1"/>
  <c r="J227" i="1"/>
  <c r="I227" i="1"/>
  <c r="H227" i="1"/>
  <c r="G227" i="1"/>
  <c r="F227" i="1"/>
  <c r="E227" i="1"/>
  <c r="D227" i="1"/>
  <c r="C227" i="1"/>
  <c r="J226" i="1"/>
  <c r="I226" i="1"/>
  <c r="H226" i="1"/>
  <c r="G226" i="1"/>
  <c r="F226" i="1"/>
  <c r="E226" i="1"/>
  <c r="D226" i="1"/>
  <c r="J225" i="1"/>
  <c r="I225" i="1"/>
  <c r="H225" i="1"/>
  <c r="G225" i="1"/>
  <c r="F225" i="1"/>
  <c r="E225" i="1"/>
  <c r="D225" i="1"/>
  <c r="C225" i="1"/>
  <c r="J224" i="1"/>
  <c r="I224" i="1"/>
  <c r="H224" i="1"/>
  <c r="G224" i="1"/>
  <c r="F224" i="1"/>
  <c r="E224" i="1"/>
  <c r="D224" i="1"/>
  <c r="C224" i="1"/>
  <c r="J223" i="1"/>
  <c r="I223" i="1"/>
  <c r="H223" i="1"/>
  <c r="G223" i="1"/>
  <c r="F223" i="1"/>
  <c r="E223" i="1"/>
  <c r="D223" i="1"/>
  <c r="C223" i="1"/>
  <c r="J222" i="1"/>
  <c r="I222" i="1"/>
  <c r="H222" i="1"/>
  <c r="G222" i="1"/>
  <c r="F222" i="1"/>
  <c r="E222" i="1"/>
  <c r="D222" i="1"/>
  <c r="C222" i="1"/>
  <c r="J221" i="1"/>
  <c r="I221" i="1"/>
  <c r="H221" i="1"/>
  <c r="G221" i="1"/>
  <c r="F221" i="1"/>
  <c r="E221" i="1"/>
  <c r="D221" i="1"/>
  <c r="C221" i="1"/>
  <c r="J220" i="1"/>
  <c r="I220" i="1"/>
  <c r="H220" i="1"/>
  <c r="G220" i="1"/>
  <c r="F220" i="1"/>
  <c r="E220" i="1"/>
  <c r="D220" i="1"/>
  <c r="C220" i="1"/>
  <c r="J219" i="1"/>
  <c r="I219" i="1"/>
  <c r="H219" i="1"/>
  <c r="G219" i="1"/>
  <c r="F219" i="1"/>
  <c r="E219" i="1"/>
  <c r="D219" i="1"/>
  <c r="C219" i="1"/>
  <c r="J218" i="1"/>
  <c r="I218" i="1"/>
  <c r="H218" i="1"/>
  <c r="G218" i="1"/>
  <c r="F218" i="1"/>
  <c r="E218" i="1"/>
  <c r="D218" i="1"/>
  <c r="C218" i="1"/>
  <c r="J217" i="1"/>
  <c r="I217" i="1"/>
  <c r="H217" i="1"/>
  <c r="G217" i="1"/>
  <c r="F217" i="1"/>
  <c r="E217" i="1"/>
  <c r="D217" i="1"/>
  <c r="C217" i="1"/>
  <c r="J216" i="1"/>
  <c r="I216" i="1"/>
  <c r="H216" i="1"/>
  <c r="G216" i="1"/>
  <c r="F216" i="1"/>
  <c r="E216" i="1"/>
  <c r="D216" i="1"/>
  <c r="C216" i="1"/>
  <c r="J215" i="1"/>
  <c r="I215" i="1"/>
  <c r="H215" i="1"/>
  <c r="G215" i="1"/>
  <c r="F215" i="1"/>
  <c r="E215" i="1"/>
  <c r="D215" i="1"/>
  <c r="C215" i="1"/>
  <c r="J214" i="1"/>
  <c r="I214" i="1"/>
  <c r="H214" i="1"/>
  <c r="G214" i="1"/>
  <c r="F214" i="1"/>
  <c r="E214" i="1"/>
  <c r="D214" i="1"/>
  <c r="C214" i="1"/>
  <c r="J213" i="1"/>
  <c r="I213" i="1"/>
  <c r="H213" i="1"/>
  <c r="G213" i="1"/>
  <c r="F213" i="1"/>
  <c r="E213" i="1"/>
  <c r="D213" i="1"/>
  <c r="C213" i="1"/>
  <c r="J212" i="1"/>
  <c r="I212" i="1"/>
  <c r="H212" i="1"/>
  <c r="G212" i="1"/>
  <c r="F212" i="1"/>
  <c r="E212" i="1"/>
  <c r="D212" i="1"/>
  <c r="C212" i="1"/>
  <c r="J211" i="1"/>
  <c r="I211" i="1"/>
  <c r="H211" i="1"/>
  <c r="G211" i="1"/>
  <c r="F211" i="1"/>
  <c r="E211" i="1"/>
  <c r="D211" i="1"/>
  <c r="C211" i="1"/>
  <c r="J210" i="1"/>
  <c r="I210" i="1"/>
  <c r="H210" i="1"/>
  <c r="G210" i="1"/>
  <c r="F210" i="1"/>
  <c r="E210" i="1"/>
  <c r="D210" i="1"/>
  <c r="C210" i="1"/>
  <c r="J209" i="1"/>
  <c r="I209" i="1"/>
  <c r="H209" i="1"/>
  <c r="G209" i="1"/>
  <c r="F209" i="1"/>
  <c r="E209" i="1"/>
  <c r="D209" i="1"/>
  <c r="C209" i="1"/>
  <c r="J208" i="1"/>
  <c r="I208" i="1"/>
  <c r="H208" i="1"/>
  <c r="G208" i="1"/>
  <c r="F208" i="1"/>
  <c r="E208" i="1"/>
  <c r="D208" i="1"/>
  <c r="C208" i="1"/>
  <c r="J207" i="1"/>
  <c r="I207" i="1"/>
  <c r="H207" i="1"/>
  <c r="G207" i="1"/>
  <c r="F207" i="1"/>
  <c r="E207" i="1"/>
  <c r="D207" i="1"/>
  <c r="C207" i="1"/>
  <c r="J206" i="1"/>
  <c r="I206" i="1"/>
  <c r="H206" i="1"/>
  <c r="G206" i="1"/>
  <c r="F206" i="1"/>
  <c r="E206" i="1"/>
  <c r="D206" i="1"/>
  <c r="C206" i="1"/>
  <c r="J205" i="1"/>
  <c r="I205" i="1"/>
  <c r="H205" i="1"/>
  <c r="G205" i="1"/>
  <c r="F205" i="1"/>
  <c r="E205" i="1"/>
  <c r="D205" i="1"/>
  <c r="C205" i="1"/>
  <c r="J204" i="1"/>
  <c r="I204" i="1"/>
  <c r="H204" i="1"/>
  <c r="G204" i="1"/>
  <c r="F204" i="1"/>
  <c r="E204" i="1"/>
  <c r="D204" i="1"/>
  <c r="C204" i="1"/>
  <c r="J203" i="1"/>
  <c r="I203" i="1"/>
  <c r="H203" i="1"/>
  <c r="G203" i="1"/>
  <c r="F203" i="1"/>
  <c r="E203" i="1"/>
  <c r="D203" i="1"/>
  <c r="C203" i="1"/>
  <c r="J202" i="1"/>
  <c r="I202" i="1"/>
  <c r="H202" i="1"/>
  <c r="G202" i="1"/>
  <c r="F202" i="1"/>
  <c r="E202" i="1"/>
  <c r="D202" i="1"/>
  <c r="C202" i="1"/>
  <c r="J201" i="1"/>
  <c r="I201" i="1"/>
  <c r="H201" i="1"/>
  <c r="G201" i="1"/>
  <c r="F201" i="1"/>
  <c r="E201" i="1"/>
  <c r="D201" i="1"/>
  <c r="C201" i="1"/>
  <c r="J200" i="1"/>
  <c r="I200" i="1"/>
  <c r="H200" i="1"/>
  <c r="G200" i="1"/>
  <c r="F200" i="1"/>
  <c r="E200" i="1"/>
  <c r="D200" i="1"/>
  <c r="C200" i="1"/>
  <c r="J199" i="1"/>
  <c r="I199" i="1"/>
  <c r="H199" i="1"/>
  <c r="G199" i="1"/>
  <c r="F199" i="1"/>
  <c r="E199" i="1"/>
  <c r="D199" i="1"/>
  <c r="C199" i="1"/>
  <c r="J196" i="1"/>
  <c r="I196" i="1"/>
  <c r="H196" i="1"/>
  <c r="G196" i="1"/>
  <c r="F196" i="1"/>
  <c r="E196" i="1"/>
  <c r="D196" i="1"/>
  <c r="C196" i="1"/>
  <c r="J195" i="1"/>
  <c r="I195" i="1"/>
  <c r="H195" i="1"/>
  <c r="G195" i="1"/>
  <c r="F195" i="1"/>
  <c r="E195" i="1"/>
  <c r="D195" i="1"/>
  <c r="C195" i="1"/>
  <c r="J194" i="1"/>
  <c r="I194" i="1"/>
  <c r="H194" i="1"/>
  <c r="G194" i="1"/>
  <c r="F194" i="1"/>
  <c r="E194" i="1"/>
  <c r="D194" i="1"/>
  <c r="C194" i="1"/>
  <c r="J193" i="1"/>
  <c r="I193" i="1"/>
  <c r="H193" i="1"/>
  <c r="G193" i="1"/>
  <c r="F193" i="1"/>
  <c r="E193" i="1"/>
  <c r="D193" i="1"/>
  <c r="C193" i="1"/>
  <c r="J192" i="1"/>
  <c r="I192" i="1"/>
  <c r="H192" i="1"/>
  <c r="G192" i="1"/>
  <c r="F192" i="1"/>
  <c r="E192" i="1"/>
  <c r="D192" i="1"/>
  <c r="C192" i="1"/>
  <c r="J191" i="1"/>
  <c r="I191" i="1"/>
  <c r="H191" i="1"/>
  <c r="G191" i="1"/>
  <c r="F191" i="1"/>
  <c r="E191" i="1"/>
  <c r="D191" i="1"/>
  <c r="C191" i="1"/>
  <c r="J190" i="1"/>
  <c r="I190" i="1"/>
  <c r="H190" i="1"/>
  <c r="G190" i="1"/>
  <c r="F190" i="1"/>
  <c r="E190" i="1"/>
  <c r="D190" i="1"/>
  <c r="C190" i="1"/>
  <c r="J189" i="1"/>
  <c r="I189" i="1"/>
  <c r="H189" i="1"/>
  <c r="G189" i="1"/>
  <c r="F189" i="1"/>
  <c r="E189" i="1"/>
  <c r="D189" i="1"/>
  <c r="C189" i="1"/>
  <c r="J188" i="1"/>
  <c r="I188" i="1"/>
  <c r="H188" i="1"/>
  <c r="G188" i="1"/>
  <c r="F188" i="1"/>
  <c r="E188" i="1"/>
  <c r="D188" i="1"/>
  <c r="C188" i="1"/>
  <c r="J187" i="1"/>
  <c r="I187" i="1"/>
  <c r="H187" i="1"/>
  <c r="G187" i="1"/>
  <c r="F187" i="1"/>
  <c r="E187" i="1"/>
  <c r="D187" i="1"/>
  <c r="C187" i="1"/>
  <c r="J186" i="1"/>
  <c r="I186" i="1"/>
  <c r="H186" i="1"/>
  <c r="G186" i="1"/>
  <c r="F186" i="1"/>
  <c r="E186" i="1"/>
  <c r="D186" i="1"/>
  <c r="C186" i="1"/>
  <c r="J185" i="1"/>
  <c r="I185" i="1"/>
  <c r="H185" i="1"/>
  <c r="G185" i="1"/>
  <c r="F185" i="1"/>
  <c r="E185" i="1"/>
  <c r="D185" i="1"/>
  <c r="C185" i="1"/>
  <c r="J184" i="1"/>
  <c r="I184" i="1"/>
  <c r="H184" i="1"/>
  <c r="G184" i="1"/>
  <c r="F184" i="1"/>
  <c r="E184" i="1"/>
  <c r="D184" i="1"/>
  <c r="C184" i="1"/>
  <c r="J183" i="1"/>
  <c r="I183" i="1"/>
  <c r="H183" i="1"/>
  <c r="G183" i="1"/>
  <c r="F183" i="1"/>
  <c r="E183" i="1"/>
  <c r="D183" i="1"/>
  <c r="C183" i="1"/>
  <c r="J182" i="1"/>
  <c r="I182" i="1"/>
  <c r="H182" i="1"/>
  <c r="G182" i="1"/>
  <c r="F182" i="1"/>
  <c r="E182" i="1"/>
  <c r="D182" i="1"/>
  <c r="C182" i="1"/>
  <c r="J181" i="1"/>
  <c r="I181" i="1"/>
  <c r="H181" i="1"/>
  <c r="G181" i="1"/>
  <c r="F181" i="1"/>
  <c r="E181" i="1"/>
  <c r="D181" i="1"/>
  <c r="C181" i="1"/>
  <c r="J180" i="1"/>
  <c r="I180" i="1"/>
  <c r="H180" i="1"/>
  <c r="G180" i="1"/>
  <c r="F180" i="1"/>
  <c r="E180" i="1"/>
  <c r="D180" i="1"/>
  <c r="C180" i="1"/>
  <c r="J179" i="1"/>
  <c r="I179" i="1"/>
  <c r="H179" i="1"/>
  <c r="G179" i="1"/>
  <c r="F179" i="1"/>
  <c r="E179" i="1"/>
  <c r="D179" i="1"/>
  <c r="C179" i="1"/>
  <c r="J178" i="1"/>
  <c r="I178" i="1"/>
  <c r="H178" i="1"/>
  <c r="G178" i="1"/>
  <c r="F178" i="1"/>
  <c r="E178" i="1"/>
  <c r="D178" i="1"/>
  <c r="C178" i="1"/>
  <c r="J177" i="1"/>
  <c r="I177" i="1"/>
  <c r="H177" i="1"/>
  <c r="G177" i="1"/>
  <c r="F177" i="1"/>
  <c r="E177" i="1"/>
  <c r="D177" i="1"/>
  <c r="C177" i="1"/>
  <c r="J176" i="1"/>
  <c r="I176" i="1"/>
  <c r="H176" i="1"/>
  <c r="G176" i="1"/>
  <c r="F176" i="1"/>
  <c r="E176" i="1"/>
  <c r="C176" i="1"/>
  <c r="J175" i="1"/>
  <c r="I175" i="1"/>
  <c r="H175" i="1"/>
  <c r="G175" i="1"/>
  <c r="F175" i="1"/>
  <c r="E175" i="1"/>
  <c r="C175" i="1"/>
  <c r="J174" i="1"/>
  <c r="I174" i="1"/>
  <c r="H174" i="1"/>
  <c r="G174" i="1"/>
  <c r="F174" i="1"/>
  <c r="E174" i="1"/>
  <c r="D174" i="1"/>
  <c r="C174" i="1"/>
  <c r="J173" i="1"/>
  <c r="I173" i="1"/>
  <c r="H173" i="1"/>
  <c r="G173" i="1"/>
  <c r="F173" i="1"/>
  <c r="E173" i="1"/>
  <c r="D173" i="1"/>
  <c r="C173" i="1"/>
  <c r="J172" i="1"/>
  <c r="I172" i="1"/>
  <c r="H172" i="1"/>
  <c r="G172" i="1"/>
  <c r="F172" i="1"/>
  <c r="E172" i="1"/>
  <c r="D172" i="1"/>
  <c r="C172" i="1"/>
  <c r="J171" i="1"/>
  <c r="I171" i="1"/>
  <c r="H171" i="1"/>
  <c r="G171" i="1"/>
  <c r="F171" i="1"/>
  <c r="E171" i="1"/>
  <c r="D171" i="1"/>
  <c r="C171" i="1"/>
  <c r="J170" i="1"/>
  <c r="I170" i="1"/>
  <c r="H170" i="1"/>
  <c r="G170" i="1"/>
  <c r="F170" i="1"/>
  <c r="E170" i="1"/>
  <c r="D170" i="1"/>
  <c r="C170" i="1"/>
  <c r="J169" i="1"/>
  <c r="I169" i="1"/>
  <c r="H169" i="1"/>
  <c r="G169" i="1"/>
  <c r="F169" i="1"/>
  <c r="E169" i="1"/>
  <c r="D169" i="1"/>
  <c r="C169" i="1"/>
  <c r="J168" i="1"/>
  <c r="I168" i="1"/>
  <c r="H168" i="1"/>
  <c r="G168" i="1"/>
  <c r="F168" i="1"/>
  <c r="E168" i="1"/>
  <c r="D168" i="1"/>
  <c r="C168" i="1"/>
  <c r="J167" i="1"/>
  <c r="I167" i="1"/>
  <c r="H167" i="1"/>
  <c r="G167" i="1"/>
  <c r="F167" i="1"/>
  <c r="E167" i="1"/>
  <c r="D167" i="1"/>
  <c r="C167" i="1"/>
  <c r="J166" i="1"/>
  <c r="I166" i="1"/>
  <c r="H166" i="1"/>
  <c r="G166" i="1"/>
  <c r="F166" i="1"/>
  <c r="E166" i="1"/>
  <c r="D166" i="1"/>
  <c r="C166" i="1"/>
  <c r="J165" i="1"/>
  <c r="I165" i="1"/>
  <c r="H165" i="1"/>
  <c r="G165" i="1"/>
  <c r="F165" i="1"/>
  <c r="E165" i="1"/>
  <c r="C165" i="1"/>
  <c r="J164" i="1"/>
  <c r="I164" i="1"/>
  <c r="H164" i="1"/>
  <c r="G164" i="1"/>
  <c r="F164" i="1"/>
  <c r="E164" i="1"/>
  <c r="C164" i="1"/>
  <c r="J163" i="1"/>
  <c r="I163" i="1"/>
  <c r="H163" i="1"/>
  <c r="G163" i="1"/>
  <c r="F163" i="1"/>
  <c r="E163" i="1"/>
  <c r="D163" i="1"/>
  <c r="C163" i="1"/>
  <c r="J162" i="1"/>
  <c r="I162" i="1"/>
  <c r="H162" i="1"/>
  <c r="G162" i="1"/>
  <c r="F162" i="1"/>
  <c r="E162" i="1"/>
  <c r="D162" i="1"/>
  <c r="C162" i="1"/>
  <c r="J161" i="1"/>
  <c r="I161" i="1"/>
  <c r="H161" i="1"/>
  <c r="G161" i="1"/>
  <c r="F161" i="1"/>
  <c r="E161" i="1"/>
  <c r="D161" i="1"/>
  <c r="C161" i="1"/>
  <c r="J160" i="1"/>
  <c r="I160" i="1"/>
  <c r="H160" i="1"/>
  <c r="G160" i="1"/>
  <c r="F160" i="1"/>
  <c r="E160" i="1"/>
  <c r="D160" i="1"/>
  <c r="C160" i="1"/>
  <c r="J159" i="1"/>
  <c r="I159" i="1"/>
  <c r="H159" i="1"/>
  <c r="G159" i="1"/>
  <c r="F159" i="1"/>
  <c r="E159" i="1"/>
  <c r="D159" i="1"/>
  <c r="C159" i="1"/>
  <c r="J158" i="1"/>
  <c r="I158" i="1"/>
  <c r="H158" i="1"/>
  <c r="G158" i="1"/>
  <c r="F158" i="1"/>
  <c r="E158" i="1"/>
  <c r="D158" i="1"/>
  <c r="C158" i="1"/>
  <c r="J157" i="1"/>
  <c r="I157" i="1"/>
  <c r="H157" i="1"/>
  <c r="G157" i="1"/>
  <c r="F157" i="1"/>
  <c r="E157" i="1"/>
  <c r="D157" i="1"/>
  <c r="C157" i="1"/>
  <c r="J156" i="1"/>
  <c r="I156" i="1"/>
  <c r="H156" i="1"/>
  <c r="G156" i="1"/>
  <c r="F156" i="1"/>
  <c r="E156" i="1"/>
  <c r="D156" i="1"/>
  <c r="C156" i="1"/>
  <c r="J155" i="1"/>
  <c r="I155" i="1"/>
  <c r="H155" i="1"/>
  <c r="G155" i="1"/>
  <c r="F155" i="1"/>
  <c r="E155" i="1"/>
  <c r="D155" i="1"/>
  <c r="C155" i="1"/>
  <c r="J154" i="1"/>
  <c r="I154" i="1"/>
  <c r="H154" i="1"/>
  <c r="G154" i="1"/>
  <c r="F154" i="1"/>
  <c r="E154" i="1"/>
  <c r="C154" i="1"/>
  <c r="J153" i="1"/>
  <c r="I153" i="1"/>
  <c r="H153" i="1"/>
  <c r="G153" i="1"/>
  <c r="F153" i="1"/>
  <c r="E153" i="1"/>
  <c r="C153" i="1"/>
  <c r="J152" i="1"/>
  <c r="I152" i="1"/>
  <c r="H152" i="1"/>
  <c r="G152" i="1"/>
  <c r="F152" i="1"/>
  <c r="E152" i="1"/>
  <c r="D152" i="1"/>
  <c r="C152" i="1"/>
  <c r="J151" i="1"/>
  <c r="I151" i="1"/>
  <c r="H151" i="1"/>
  <c r="G151" i="1"/>
  <c r="F151" i="1"/>
  <c r="E151" i="1"/>
  <c r="D151" i="1"/>
  <c r="C151" i="1"/>
  <c r="J150" i="1"/>
  <c r="I150" i="1"/>
  <c r="H150" i="1"/>
  <c r="G150" i="1"/>
  <c r="F150" i="1"/>
  <c r="E150" i="1"/>
  <c r="D150" i="1"/>
  <c r="C150" i="1"/>
  <c r="J149" i="1"/>
  <c r="I149" i="1"/>
  <c r="H149" i="1"/>
  <c r="G149" i="1"/>
  <c r="F149" i="1"/>
  <c r="E149" i="1"/>
  <c r="D149" i="1"/>
  <c r="C149" i="1"/>
  <c r="J148" i="1"/>
  <c r="I148" i="1"/>
  <c r="H148" i="1"/>
  <c r="E148" i="1"/>
  <c r="F148" i="1"/>
  <c r="G148" i="1"/>
  <c r="D148" i="1"/>
  <c r="C148" i="1"/>
</calcChain>
</file>

<file path=xl/sharedStrings.xml><?xml version="1.0" encoding="utf-8"?>
<sst xmlns="http://schemas.openxmlformats.org/spreadsheetml/2006/main" count="1727" uniqueCount="223">
  <si>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</si>
  <si>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</si>
  <si>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</si>
  <si>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</si>
  <si>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</si>
  <si>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</si>
  <si>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</si>
  <si>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</si>
  <si>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</si>
  <si>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</si>
  <si>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</si>
  <si>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</si>
  <si>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</si>
  <si>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</si>
  <si>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</si>
  <si>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</si>
  <si>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411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</si>
  <si>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</si>
  <si>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</si>
  <si>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</si>
  <si>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</si>
  <si>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</si>
  <si>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</si>
  <si>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</si>
  <si>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</si>
  <si>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</si>
  <si>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</si>
  <si>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</si>
  <si>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</si>
  <si>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</si>
  <si>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</si>
  <si>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</si>
  <si>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</si>
  <si>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</si>
  <si>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</si>
  <si>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</si>
  <si>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</si>
  <si>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</si>
  <si>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</si>
  <si>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</si>
  <si>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</si>
  <si>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</si>
  <si>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</si>
  <si>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</si>
  <si>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</si>
  <si>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</si>
  <si>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</si>
  <si>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</si>
  <si>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</si>
  <si>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</si>
  <si>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</si>
  <si>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</si>
  <si>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</si>
  <si>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</si>
  <si>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</si>
  <si>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</si>
  <si>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</si>
  <si>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</si>
  <si>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</si>
  <si>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</si>
  <si>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</si>
  <si>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</si>
  <si>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</si>
  <si>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</si>
  <si>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</si>
  <si>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</si>
  <si>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</si>
  <si>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</si>
  <si>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</si>
  <si>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</si>
  <si>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</si>
  <si>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</si>
  <si>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</si>
  <si>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</si>
  <si>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MECH 311 or MIAE 311</t>
  </si>
  <si>
    <t>Computer Integrated Manufacturing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</si>
  <si>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</si>
  <si>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</si>
  <si>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</si>
  <si>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</si>
  <si>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</si>
  <si>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</si>
  <si>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</si>
  <si>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</si>
  <si>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</si>
  <si>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</si>
  <si>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</si>
  <si>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</si>
  <si>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</si>
  <si>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</si>
  <si>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</si>
  <si>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</si>
  <si>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</si>
  <si>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</si>
  <si>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</si>
  <si>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</si>
  <si>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</si>
  <si>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</si>
  <si>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</si>
  <si>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</si>
  <si>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</si>
  <si>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</si>
  <si>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</si>
  <si>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</si>
  <si>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</si>
  <si>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</si>
  <si>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</si>
  <si>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</si>
  <si>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</si>
  <si>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</si>
  <si>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</si>
  <si>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</si>
  <si>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</si>
  <si>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</si>
  <si>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</si>
  <si>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</si>
  <si>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</si>
  <si>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</si>
  <si>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</si>
  <si>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</si>
  <si>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</si>
  <si>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</si>
  <si>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</si>
  <si>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</si>
  <si>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</si>
  <si>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</si>
  <si>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</si>
  <si>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</si>
  <si>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</si>
  <si>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</si>
  <si>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</si>
  <si>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</si>
  <si>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</si>
  <si>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</si>
  <si>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</si>
  <si>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</si>
  <si>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</si>
  <si>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ZZZZ 900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</si>
  <si>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</si>
  <si>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</si>
  <si>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</si>
  <si>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</si>
  <si>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</si>
  <si>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</si>
  <si>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</si>
  <si>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</si>
  <si>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</si>
  <si>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</si>
  <si>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</si>
  <si>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</si>
  <si>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</si>
  <si>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</si>
  <si>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</si>
  <si>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</si>
  <si>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</si>
  <si>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</si>
  <si>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</si>
  <si>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</si>
  <si>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</si>
  <si>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</si>
  <si>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</si>
  <si>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</si>
  <si>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</si>
  <si>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</si>
  <si>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</si>
  <si>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</si>
  <si>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</si>
  <si>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</si>
  <si>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</si>
  <si>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</si>
  <si>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</si>
  <si>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</si>
  <si>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</si>
  <si>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</si>
  <si>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</si>
  <si>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</si>
  <si>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</si>
  <si>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</si>
  <si>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</si>
  <si>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</si>
  <si>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</si>
  <si>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</si>
  <si>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</si>
  <si>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</si>
  <si>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</si>
  <si>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</si>
  <si>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</si>
  <si>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</si>
  <si>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</si>
  <si>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</si>
  <si>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446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</si>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</sst>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4" borderId="5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4" borderId="5" xfId="0" applyNumberFormat="1" applyFill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2" fontId="0" fillId="0" borderId="5" xfId="0" applyNumberFormat="1" applyBorder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2" fillId="2" borderId="5" xfId="0" applyFont="1" applyFill="1" applyBorder="1" applyAlignment="1">
      <alignment vertical="center"/>
    </xf>
    <xf numFmtId="0" fontId="0" fillId="0" borderId="5" xfId="0" applyBorder="1"/>
    <xf numFmtId="2" fontId="0" fillId="2" borderId="5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NPUT/Courses_offering_PRE_CO.xlsx" TargetMode="External"/><Relationship Id="rId2" Type="http://schemas.openxmlformats.org/officeDocument/2006/relationships/externalLinkPath" Target="https://d.docs.live.net/55a11f37d9971d4c/!%201.Concordia/!z%20-%20COOP%20director/!%20PYTHON/WEB_TOOL/INPUT/Courses_offering_PRE_CO.xlsx" TargetMode="External"/><Relationship Id="rId1" Type="http://schemas.openxmlformats.org/officeDocument/2006/relationships/externalLinkPath" Target="/55a11f37d9971d4c/!%201.Concordia/!z%20-%20COOP%20director/!%20PYTHON/WEB_TOOL/INPUT/Courses_offering_PRE_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2026-27"/>
      <sheetName val="Mechanical Engineering 2026-27"/>
      <sheetName val="Industrial  Engineering 2026-27"/>
      <sheetName val="Aerospace - Option A 2026-27"/>
      <sheetName val="Aerospace - Option B 2026-27"/>
      <sheetName val="Aerospace - Option C 2026-27"/>
      <sheetName val="ECP courses"/>
      <sheetName val="Complete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0"/>
  <sheetViews>
    <sheetView tabSelected="1" zoomScale="85" zoomScaleNormal="85"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E183" sqref="E183"/>
    </sheetView>
  </sheetViews>
  <sheetFormatPr defaultRowHeight="15" x14ac:dyDescent="0.25"/>
  <cols>
    <col min="1" max="1" width="27.85546875" customWidth="1"/>
    <col min="2" max="2" width="12.7109375" bestFit="1" customWidth="1"/>
    <col min="3" max="3" width="33.7109375" customWidth="1"/>
    <col min="4" max="4" width="6.140625" customWidth="1"/>
    <col min="5" max="5" width="44.5703125" customWidth="1"/>
    <col min="6" max="6" width="36.140625" customWidth="1"/>
    <col min="7" max="10" width="11.85546875" style="23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172</v>
      </c>
      <c r="B1" s="4" t="s">
        <v>35</v>
      </c>
      <c r="C1" s="5" t="s">
        <v>36</v>
      </c>
      <c r="D1" s="5" t="s">
        <v>37</v>
      </c>
      <c r="E1" s="5" t="s">
        <v>38</v>
      </c>
      <c r="F1" s="4" t="s">
        <v>39</v>
      </c>
      <c r="G1" s="6" t="s">
        <v>40</v>
      </c>
      <c r="H1" s="6" t="s">
        <v>41</v>
      </c>
      <c r="I1" s="6" t="s">
        <v>42</v>
      </c>
      <c r="J1" s="6" t="s">
        <v>43</v>
      </c>
      <c r="K1" s="6" t="s">
        <v>134</v>
      </c>
      <c r="P1" t="s">
        <v>174</v>
      </c>
      <c r="Q1" t="s">
        <v>169</v>
      </c>
      <c r="R1" t="s">
        <v>167</v>
      </c>
      <c r="S1" t="s">
        <v>168</v>
      </c>
    </row>
    <row r="2" spans="1:21" x14ac:dyDescent="0.25">
      <c r="A2" s="2" t="s">
        <v>173</v>
      </c>
      <c r="B2" s="2" t="s">
        <v>142</v>
      </c>
      <c r="C2" s="10" t="s">
        <v>143</v>
      </c>
      <c r="D2" s="11">
        <v>3</v>
      </c>
      <c r="E2" s="10"/>
      <c r="F2" s="10"/>
      <c r="G2" s="12"/>
      <c r="H2" s="12" t="s">
        <v>45</v>
      </c>
      <c r="I2" s="12" t="s">
        <v>45</v>
      </c>
      <c r="J2" s="12" t="s">
        <v>45</v>
      </c>
      <c r="K2" s="12" t="s">
        <v>149</v>
      </c>
      <c r="P2" s="2" t="s">
        <v>133</v>
      </c>
      <c r="Q2" t="s">
        <v>161</v>
      </c>
      <c r="R2">
        <v>2</v>
      </c>
      <c r="S2" t="s">
        <v>42</v>
      </c>
      <c r="U2" s="3"/>
    </row>
    <row r="3" spans="1:21" x14ac:dyDescent="0.25">
      <c r="A3" s="14" t="s">
        <v>173</v>
      </c>
      <c r="B3" s="14" t="s">
        <v>62</v>
      </c>
      <c r="C3" s="15" t="s">
        <v>148</v>
      </c>
      <c r="D3" s="16">
        <v>3</v>
      </c>
      <c r="E3" s="15"/>
      <c r="F3" s="15"/>
      <c r="G3" s="17"/>
      <c r="H3" s="17" t="s">
        <v>45</v>
      </c>
      <c r="I3" s="17" t="s">
        <v>45</v>
      </c>
      <c r="J3" s="17" t="s">
        <v>45</v>
      </c>
      <c r="K3" s="17" t="s">
        <v>149</v>
      </c>
      <c r="P3" s="14" t="s">
        <v>133</v>
      </c>
      <c r="Q3" t="s">
        <v>162</v>
      </c>
      <c r="R3">
        <v>3</v>
      </c>
      <c r="S3" t="s">
        <v>43</v>
      </c>
      <c r="U3" s="3"/>
    </row>
    <row r="4" spans="1:21" x14ac:dyDescent="0.25">
      <c r="A4" s="2" t="s">
        <v>173</v>
      </c>
      <c r="B4" s="2" t="s">
        <v>140</v>
      </c>
      <c r="C4" s="10" t="s">
        <v>145</v>
      </c>
      <c r="D4" s="11">
        <v>3</v>
      </c>
      <c r="E4" s="10"/>
      <c r="F4" s="10"/>
      <c r="G4" s="12"/>
      <c r="H4" s="12" t="s">
        <v>45</v>
      </c>
      <c r="I4" s="12" t="s">
        <v>45</v>
      </c>
      <c r="J4" s="12" t="s">
        <v>45</v>
      </c>
      <c r="K4" s="12" t="s">
        <v>149</v>
      </c>
      <c r="P4" s="2" t="s">
        <v>133</v>
      </c>
      <c r="Q4" t="s">
        <v>163</v>
      </c>
      <c r="R4">
        <v>4</v>
      </c>
      <c r="S4" t="s">
        <v>40</v>
      </c>
      <c r="U4" s="3"/>
    </row>
    <row r="5" spans="1:21" x14ac:dyDescent="0.25">
      <c r="A5" s="14" t="s">
        <v>173</v>
      </c>
      <c r="B5" s="14" t="s">
        <v>141</v>
      </c>
      <c r="C5" s="15" t="s">
        <v>144</v>
      </c>
      <c r="D5" s="16">
        <v>3</v>
      </c>
      <c r="E5" s="15"/>
      <c r="F5" s="15"/>
      <c r="G5" s="17"/>
      <c r="H5" s="17" t="s">
        <v>45</v>
      </c>
      <c r="I5" s="17" t="s">
        <v>45</v>
      </c>
      <c r="J5" s="17" t="s">
        <v>45</v>
      </c>
      <c r="K5" s="17" t="s">
        <v>149</v>
      </c>
      <c r="P5" s="2" t="s">
        <v>112</v>
      </c>
      <c r="Q5" t="s">
        <v>161</v>
      </c>
      <c r="R5">
        <v>2</v>
      </c>
      <c r="S5" t="s">
        <v>42</v>
      </c>
      <c r="U5" s="3"/>
    </row>
    <row r="6" spans="1:21" x14ac:dyDescent="0.25">
      <c r="A6" s="14" t="s">
        <v>173</v>
      </c>
      <c r="B6" s="14" t="s">
        <v>123</v>
      </c>
      <c r="C6" s="15" t="s">
        <v>147</v>
      </c>
      <c r="D6" s="16">
        <v>3</v>
      </c>
      <c r="E6" s="15"/>
      <c r="F6" s="15"/>
      <c r="G6" s="17"/>
      <c r="H6" s="17" t="s">
        <v>45</v>
      </c>
      <c r="I6" s="17" t="s">
        <v>45</v>
      </c>
      <c r="J6" s="17" t="s">
        <v>45</v>
      </c>
      <c r="K6" s="17" t="s">
        <v>149</v>
      </c>
      <c r="P6" s="2" t="s">
        <v>112</v>
      </c>
      <c r="Q6" t="s">
        <v>162</v>
      </c>
      <c r="R6">
        <v>3</v>
      </c>
      <c r="S6" t="s">
        <v>43</v>
      </c>
      <c r="U6" s="3"/>
    </row>
    <row r="7" spans="1:21" x14ac:dyDescent="0.25">
      <c r="A7" s="2" t="s">
        <v>173</v>
      </c>
      <c r="B7" s="2" t="s">
        <v>139</v>
      </c>
      <c r="C7" s="10" t="s">
        <v>146</v>
      </c>
      <c r="D7" s="11">
        <v>3</v>
      </c>
      <c r="E7" s="10"/>
      <c r="F7" s="10"/>
      <c r="G7" s="12"/>
      <c r="H7" s="12" t="s">
        <v>45</v>
      </c>
      <c r="I7" s="12" t="s">
        <v>45</v>
      </c>
      <c r="J7" s="12" t="s">
        <v>45</v>
      </c>
      <c r="K7" s="12" t="s">
        <v>149</v>
      </c>
      <c r="P7" s="2" t="s">
        <v>112</v>
      </c>
      <c r="Q7" t="s">
        <v>163</v>
      </c>
      <c r="R7">
        <v>4</v>
      </c>
      <c r="S7" t="s">
        <v>40</v>
      </c>
      <c r="U7" s="3"/>
    </row>
    <row r="8" spans="1:21" x14ac:dyDescent="0.25">
      <c r="A8" s="14" t="s">
        <v>173</v>
      </c>
      <c r="B8" s="2" t="s">
        <v>170</v>
      </c>
      <c r="C8" s="10" t="s">
        <v>171</v>
      </c>
      <c r="D8" s="11">
        <v>3</v>
      </c>
      <c r="E8" s="10"/>
      <c r="F8" s="10"/>
      <c r="G8" s="12"/>
      <c r="H8" s="12"/>
      <c r="I8" s="12"/>
      <c r="J8" s="17" t="s">
        <v>45</v>
      </c>
      <c r="K8" s="17" t="s">
        <v>138</v>
      </c>
      <c r="U8" s="3"/>
    </row>
    <row r="9" spans="1:21" x14ac:dyDescent="0.25">
      <c r="A9" s="14" t="s">
        <v>173</v>
      </c>
      <c r="B9" s="14" t="s">
        <v>0</v>
      </c>
      <c r="C9" s="15" t="s">
        <v>46</v>
      </c>
      <c r="D9" s="16">
        <v>3</v>
      </c>
      <c r="E9" s="15" t="s">
        <v>47</v>
      </c>
      <c r="F9" s="15" t="s">
        <v>44</v>
      </c>
      <c r="G9" s="17" t="s">
        <v>45</v>
      </c>
      <c r="H9" s="17" t="s">
        <v>45</v>
      </c>
      <c r="I9" s="17" t="s">
        <v>45</v>
      </c>
      <c r="J9" s="17" t="s">
        <v>45</v>
      </c>
      <c r="K9" s="17" t="s">
        <v>138</v>
      </c>
      <c r="U9" s="3"/>
    </row>
    <row r="10" spans="1:21" x14ac:dyDescent="0.25">
      <c r="A10" s="2" t="s">
        <v>173</v>
      </c>
      <c r="B10" s="2" t="s">
        <v>1</v>
      </c>
      <c r="C10" s="10" t="s">
        <v>48</v>
      </c>
      <c r="D10" s="11">
        <v>1.5</v>
      </c>
      <c r="E10" s="10" t="s">
        <v>44</v>
      </c>
      <c r="F10" s="10" t="s">
        <v>44</v>
      </c>
      <c r="G10" s="12" t="s">
        <v>45</v>
      </c>
      <c r="H10" s="12" t="s">
        <v>44</v>
      </c>
      <c r="I10" s="12" t="s">
        <v>45</v>
      </c>
      <c r="J10" s="12" t="s">
        <v>45</v>
      </c>
      <c r="K10" s="12" t="s">
        <v>138</v>
      </c>
      <c r="U10" s="3"/>
    </row>
    <row r="11" spans="1:21" x14ac:dyDescent="0.25">
      <c r="A11" s="14" t="s">
        <v>173</v>
      </c>
      <c r="B11" s="14" t="s">
        <v>2</v>
      </c>
      <c r="C11" s="15" t="s">
        <v>49</v>
      </c>
      <c r="D11" s="16">
        <v>1.5</v>
      </c>
      <c r="E11" s="15" t="s">
        <v>44</v>
      </c>
      <c r="F11" s="15" t="s">
        <v>44</v>
      </c>
      <c r="G11" s="17" t="s">
        <v>45</v>
      </c>
      <c r="H11" s="17" t="s">
        <v>44</v>
      </c>
      <c r="I11" s="17" t="s">
        <v>45</v>
      </c>
      <c r="J11" s="17" t="s">
        <v>45</v>
      </c>
      <c r="K11" s="17" t="s">
        <v>138</v>
      </c>
      <c r="U11" s="3"/>
    </row>
    <row r="12" spans="1:21" x14ac:dyDescent="0.25">
      <c r="A12" s="2" t="s">
        <v>173</v>
      </c>
      <c r="B12" s="2" t="s">
        <v>3</v>
      </c>
      <c r="C12" s="10" t="s">
        <v>50</v>
      </c>
      <c r="D12" s="11">
        <v>3</v>
      </c>
      <c r="E12" s="10" t="s">
        <v>51</v>
      </c>
      <c r="F12" s="10" t="s">
        <v>52</v>
      </c>
      <c r="G12" s="12" t="s">
        <v>45</v>
      </c>
      <c r="H12" s="12" t="s">
        <v>44</v>
      </c>
      <c r="I12" s="12" t="s">
        <v>45</v>
      </c>
      <c r="J12" s="12" t="s">
        <v>45</v>
      </c>
      <c r="K12" s="12" t="s">
        <v>138</v>
      </c>
      <c r="U12" s="3"/>
    </row>
    <row r="13" spans="1:21" x14ac:dyDescent="0.25">
      <c r="A13" s="14" t="s">
        <v>173</v>
      </c>
      <c r="B13" s="14" t="s">
        <v>4</v>
      </c>
      <c r="C13" s="15" t="s">
        <v>53</v>
      </c>
      <c r="D13" s="16">
        <v>3</v>
      </c>
      <c r="E13" s="15" t="s">
        <v>54</v>
      </c>
      <c r="F13" s="15" t="s">
        <v>44</v>
      </c>
      <c r="G13" s="17" t="s">
        <v>45</v>
      </c>
      <c r="H13" s="17" t="s">
        <v>45</v>
      </c>
      <c r="I13" s="17" t="s">
        <v>45</v>
      </c>
      <c r="J13" s="17" t="s">
        <v>45</v>
      </c>
      <c r="K13" s="17" t="s">
        <v>138</v>
      </c>
      <c r="U13" s="3"/>
    </row>
    <row r="14" spans="1:21" x14ac:dyDescent="0.25">
      <c r="A14" s="2" t="s">
        <v>173</v>
      </c>
      <c r="B14" s="2" t="s">
        <v>9</v>
      </c>
      <c r="C14" s="10" t="s">
        <v>63</v>
      </c>
      <c r="D14" s="11">
        <v>3</v>
      </c>
      <c r="E14" s="10" t="s">
        <v>44</v>
      </c>
      <c r="F14" s="10" t="s">
        <v>44</v>
      </c>
      <c r="G14" s="12" t="s">
        <v>45</v>
      </c>
      <c r="H14" s="12" t="s">
        <v>45</v>
      </c>
      <c r="I14" s="12" t="s">
        <v>45</v>
      </c>
      <c r="J14" s="12" t="s">
        <v>45</v>
      </c>
      <c r="K14" s="12" t="s">
        <v>138</v>
      </c>
      <c r="U14" s="3"/>
    </row>
    <row r="15" spans="1:21" x14ac:dyDescent="0.25">
      <c r="A15" s="2" t="s">
        <v>173</v>
      </c>
      <c r="B15" s="2" t="s">
        <v>12</v>
      </c>
      <c r="C15" s="10" t="s">
        <v>68</v>
      </c>
      <c r="D15" s="11">
        <v>3</v>
      </c>
      <c r="E15" s="10" t="s">
        <v>65</v>
      </c>
      <c r="F15" s="10" t="s">
        <v>44</v>
      </c>
      <c r="G15" s="12" t="s">
        <v>45</v>
      </c>
      <c r="H15" s="12" t="s">
        <v>45</v>
      </c>
      <c r="I15" s="12" t="s">
        <v>45</v>
      </c>
      <c r="J15" s="12" t="s">
        <v>45</v>
      </c>
      <c r="K15" s="12" t="s">
        <v>138</v>
      </c>
      <c r="U15" s="3"/>
    </row>
    <row r="16" spans="1:21" x14ac:dyDescent="0.25">
      <c r="A16" s="14" t="s">
        <v>173</v>
      </c>
      <c r="B16" s="14" t="s">
        <v>13</v>
      </c>
      <c r="C16" s="15" t="s">
        <v>69</v>
      </c>
      <c r="D16" s="16">
        <v>3</v>
      </c>
      <c r="E16" s="15" t="s">
        <v>70</v>
      </c>
      <c r="F16" s="15" t="s">
        <v>44</v>
      </c>
      <c r="G16" s="17" t="s">
        <v>44</v>
      </c>
      <c r="H16" s="17" t="s">
        <v>45</v>
      </c>
      <c r="I16" s="17" t="s">
        <v>45</v>
      </c>
      <c r="J16" s="17" t="s">
        <v>45</v>
      </c>
      <c r="K16" s="17" t="s">
        <v>138</v>
      </c>
      <c r="U16" s="3"/>
    </row>
    <row r="17" spans="1:21" x14ac:dyDescent="0.25">
      <c r="A17" s="2" t="s">
        <v>173</v>
      </c>
      <c r="B17" s="2" t="s">
        <v>14</v>
      </c>
      <c r="C17" s="10" t="s">
        <v>71</v>
      </c>
      <c r="D17" s="11">
        <v>3</v>
      </c>
      <c r="E17" s="10" t="s">
        <v>72</v>
      </c>
      <c r="F17" s="10" t="s">
        <v>44</v>
      </c>
      <c r="G17" s="12" t="s">
        <v>45</v>
      </c>
      <c r="H17" s="12" t="s">
        <v>45</v>
      </c>
      <c r="I17" s="12" t="s">
        <v>45</v>
      </c>
      <c r="J17" s="12" t="s">
        <v>45</v>
      </c>
      <c r="K17" s="12" t="s">
        <v>138</v>
      </c>
      <c r="U17" s="3"/>
    </row>
    <row r="18" spans="1:21" x14ac:dyDescent="0.25">
      <c r="A18" s="14" t="s">
        <v>173</v>
      </c>
      <c r="B18" s="14" t="s">
        <v>137</v>
      </c>
      <c r="C18" s="15" t="s">
        <v>136</v>
      </c>
      <c r="D18" s="16">
        <v>3</v>
      </c>
      <c r="E18" s="15"/>
      <c r="F18" s="15"/>
      <c r="G18" s="17" t="s">
        <v>45</v>
      </c>
      <c r="H18" s="17" t="s">
        <v>45</v>
      </c>
      <c r="I18" s="17" t="s">
        <v>45</v>
      </c>
      <c r="J18" s="17" t="s">
        <v>45</v>
      </c>
      <c r="K18" s="17" t="s">
        <v>138</v>
      </c>
      <c r="U18" s="3"/>
    </row>
    <row r="19" spans="1:21" x14ac:dyDescent="0.25">
      <c r="A19" s="2" t="s">
        <v>173</v>
      </c>
      <c r="B19" s="2" t="s">
        <v>113</v>
      </c>
      <c r="C19" s="10" t="s">
        <v>122</v>
      </c>
      <c r="D19" s="11">
        <v>3</v>
      </c>
      <c r="E19" s="10" t="s">
        <v>123</v>
      </c>
      <c r="F19" s="10" t="s">
        <v>3</v>
      </c>
      <c r="G19" s="12" t="s">
        <v>45</v>
      </c>
      <c r="H19" s="12" t="s">
        <v>44</v>
      </c>
      <c r="I19" s="12" t="s">
        <v>44</v>
      </c>
      <c r="J19" s="12" t="s">
        <v>45</v>
      </c>
      <c r="K19" s="12" t="s">
        <v>135</v>
      </c>
      <c r="U19" s="3"/>
    </row>
    <row r="20" spans="1:21" x14ac:dyDescent="0.25">
      <c r="A20" s="14" t="s">
        <v>173</v>
      </c>
      <c r="B20" s="14" t="s">
        <v>8</v>
      </c>
      <c r="C20" s="15" t="s">
        <v>61</v>
      </c>
      <c r="D20" s="16">
        <v>3</v>
      </c>
      <c r="E20" s="15" t="s">
        <v>62</v>
      </c>
      <c r="F20" s="15" t="s">
        <v>44</v>
      </c>
      <c r="G20" s="17" t="s">
        <v>45</v>
      </c>
      <c r="H20" s="17" t="s">
        <v>45</v>
      </c>
      <c r="I20" s="17" t="s">
        <v>45</v>
      </c>
      <c r="J20" s="17" t="s">
        <v>45</v>
      </c>
      <c r="K20" s="17" t="s">
        <v>135</v>
      </c>
      <c r="U20" s="3"/>
    </row>
    <row r="21" spans="1:21" x14ac:dyDescent="0.25">
      <c r="A21" s="14" t="s">
        <v>173</v>
      </c>
      <c r="B21" s="14" t="s">
        <v>10</v>
      </c>
      <c r="C21" s="15" t="s">
        <v>64</v>
      </c>
      <c r="D21" s="16">
        <v>3</v>
      </c>
      <c r="E21" s="15" t="s">
        <v>65</v>
      </c>
      <c r="F21" s="15" t="s">
        <v>44</v>
      </c>
      <c r="G21" s="17" t="s">
        <v>45</v>
      </c>
      <c r="H21" s="17" t="s">
        <v>45</v>
      </c>
      <c r="I21" s="17" t="s">
        <v>45</v>
      </c>
      <c r="J21" s="17" t="s">
        <v>45</v>
      </c>
      <c r="K21" s="17" t="s">
        <v>135</v>
      </c>
      <c r="U21" s="3"/>
    </row>
    <row r="22" spans="1:21" x14ac:dyDescent="0.25">
      <c r="A22" s="14" t="s">
        <v>173</v>
      </c>
      <c r="B22" s="14" t="s">
        <v>115</v>
      </c>
      <c r="C22" s="15" t="s">
        <v>124</v>
      </c>
      <c r="D22" s="16">
        <v>3</v>
      </c>
      <c r="E22" s="15" t="s">
        <v>117</v>
      </c>
      <c r="F22" s="15" t="s">
        <v>44</v>
      </c>
      <c r="G22" s="17" t="s">
        <v>44</v>
      </c>
      <c r="H22" s="17" t="s">
        <v>44</v>
      </c>
      <c r="I22" s="17" t="s">
        <v>45</v>
      </c>
      <c r="J22" s="17" t="s">
        <v>44</v>
      </c>
      <c r="K22" s="17" t="s">
        <v>135</v>
      </c>
      <c r="U22" s="3"/>
    </row>
    <row r="23" spans="1:21" x14ac:dyDescent="0.25">
      <c r="A23" s="2" t="s">
        <v>173</v>
      </c>
      <c r="B23" s="2" t="s">
        <v>116</v>
      </c>
      <c r="C23" s="10" t="s">
        <v>125</v>
      </c>
      <c r="D23" s="11">
        <v>3</v>
      </c>
      <c r="E23" s="10" t="s">
        <v>115</v>
      </c>
      <c r="F23" s="10" t="s">
        <v>44</v>
      </c>
      <c r="G23" s="12" t="s">
        <v>44</v>
      </c>
      <c r="H23" s="12" t="s">
        <v>44</v>
      </c>
      <c r="I23" s="12" t="s">
        <v>44</v>
      </c>
      <c r="J23" s="12" t="s">
        <v>45</v>
      </c>
      <c r="K23" s="12" t="s">
        <v>135</v>
      </c>
      <c r="U23" s="3"/>
    </row>
    <row r="24" spans="1:21" x14ac:dyDescent="0.25">
      <c r="A24" s="14" t="s">
        <v>173</v>
      </c>
      <c r="B24" s="14" t="s">
        <v>117</v>
      </c>
      <c r="C24" s="15" t="s">
        <v>126</v>
      </c>
      <c r="D24" s="16">
        <v>3.5</v>
      </c>
      <c r="E24" s="15" t="s">
        <v>127</v>
      </c>
      <c r="F24" s="15" t="s">
        <v>44</v>
      </c>
      <c r="G24" s="17" t="s">
        <v>45</v>
      </c>
      <c r="H24" s="17" t="s">
        <v>44</v>
      </c>
      <c r="I24" s="17" t="s">
        <v>44</v>
      </c>
      <c r="J24" s="17" t="s">
        <v>45</v>
      </c>
      <c r="K24" s="17" t="s">
        <v>135</v>
      </c>
      <c r="U24" s="3"/>
    </row>
    <row r="25" spans="1:21" x14ac:dyDescent="0.25">
      <c r="A25" s="2" t="s">
        <v>173</v>
      </c>
      <c r="B25" s="2" t="s">
        <v>119</v>
      </c>
      <c r="C25" s="10" t="s">
        <v>128</v>
      </c>
      <c r="D25" s="11">
        <v>3</v>
      </c>
      <c r="E25" s="10" t="s">
        <v>118</v>
      </c>
      <c r="F25" s="10" t="s">
        <v>44</v>
      </c>
      <c r="G25" s="12" t="s">
        <v>44</v>
      </c>
      <c r="H25" s="12" t="s">
        <v>44</v>
      </c>
      <c r="I25" s="12" t="s">
        <v>44</v>
      </c>
      <c r="J25" s="12" t="s">
        <v>45</v>
      </c>
      <c r="K25" s="12" t="s">
        <v>135</v>
      </c>
      <c r="U25" s="3"/>
    </row>
    <row r="26" spans="1:21" x14ac:dyDescent="0.25">
      <c r="A26" s="14" t="s">
        <v>173</v>
      </c>
      <c r="B26" s="14" t="s">
        <v>120</v>
      </c>
      <c r="C26" s="15" t="s">
        <v>129</v>
      </c>
      <c r="D26" s="16">
        <v>3</v>
      </c>
      <c r="E26" s="15" t="s">
        <v>12</v>
      </c>
      <c r="F26" s="15" t="s">
        <v>44</v>
      </c>
      <c r="G26" s="17" t="s">
        <v>44</v>
      </c>
      <c r="H26" s="17" t="s">
        <v>44</v>
      </c>
      <c r="I26" s="17" t="s">
        <v>44</v>
      </c>
      <c r="J26" s="17" t="s">
        <v>45</v>
      </c>
      <c r="K26" s="17" t="s">
        <v>135</v>
      </c>
      <c r="U26" s="3"/>
    </row>
    <row r="27" spans="1:21" x14ac:dyDescent="0.25">
      <c r="A27" s="2" t="s">
        <v>173</v>
      </c>
      <c r="B27" s="2" t="s">
        <v>15</v>
      </c>
      <c r="C27" s="10" t="s">
        <v>73</v>
      </c>
      <c r="D27" s="11">
        <v>3</v>
      </c>
      <c r="E27" s="10" t="s">
        <v>12</v>
      </c>
      <c r="F27" s="10" t="s">
        <v>44</v>
      </c>
      <c r="G27" s="12" t="s">
        <v>44</v>
      </c>
      <c r="H27" s="12" t="s">
        <v>44</v>
      </c>
      <c r="I27" s="12" t="s">
        <v>44</v>
      </c>
      <c r="J27" s="12" t="s">
        <v>45</v>
      </c>
      <c r="K27" s="12" t="s">
        <v>135</v>
      </c>
      <c r="U27" s="3"/>
    </row>
    <row r="28" spans="1:21" x14ac:dyDescent="0.25">
      <c r="A28" s="2" t="s">
        <v>173</v>
      </c>
      <c r="B28" s="2" t="s">
        <v>16</v>
      </c>
      <c r="C28" s="10" t="s">
        <v>75</v>
      </c>
      <c r="D28" s="11">
        <v>3.5</v>
      </c>
      <c r="E28" s="10" t="s">
        <v>74</v>
      </c>
      <c r="F28" s="10" t="s">
        <v>76</v>
      </c>
      <c r="G28" s="12" t="s">
        <v>45</v>
      </c>
      <c r="H28" s="12" t="s">
        <v>45</v>
      </c>
      <c r="I28" s="12" t="s">
        <v>45</v>
      </c>
      <c r="J28" s="12" t="s">
        <v>45</v>
      </c>
      <c r="K28" s="12" t="s">
        <v>135</v>
      </c>
      <c r="U28" s="3"/>
    </row>
    <row r="29" spans="1:21" x14ac:dyDescent="0.25">
      <c r="A29" s="14" t="s">
        <v>173</v>
      </c>
      <c r="B29" s="14" t="s">
        <v>17</v>
      </c>
      <c r="C29" s="15" t="s">
        <v>77</v>
      </c>
      <c r="D29" s="16">
        <v>3.5</v>
      </c>
      <c r="E29" s="15" t="s">
        <v>12</v>
      </c>
      <c r="F29" s="15" t="s">
        <v>44</v>
      </c>
      <c r="G29" s="17" t="s">
        <v>44</v>
      </c>
      <c r="H29" s="17" t="s">
        <v>44</v>
      </c>
      <c r="I29" s="17" t="s">
        <v>45</v>
      </c>
      <c r="J29" s="17" t="s">
        <v>44</v>
      </c>
      <c r="K29" s="17" t="s">
        <v>135</v>
      </c>
      <c r="U29" s="3"/>
    </row>
    <row r="30" spans="1:21" x14ac:dyDescent="0.25">
      <c r="A30" s="2" t="s">
        <v>173</v>
      </c>
      <c r="B30" s="2" t="s">
        <v>121</v>
      </c>
      <c r="C30" s="10" t="s">
        <v>130</v>
      </c>
      <c r="D30" s="11">
        <v>3.5</v>
      </c>
      <c r="E30" s="10" t="s">
        <v>115</v>
      </c>
      <c r="F30" s="10" t="s">
        <v>114</v>
      </c>
      <c r="G30" s="12" t="s">
        <v>44</v>
      </c>
      <c r="H30" s="12" t="s">
        <v>44</v>
      </c>
      <c r="I30" s="12" t="s">
        <v>45</v>
      </c>
      <c r="J30" s="12" t="s">
        <v>44</v>
      </c>
      <c r="K30" s="12" t="s">
        <v>135</v>
      </c>
      <c r="U30" s="3"/>
    </row>
    <row r="31" spans="1:21" x14ac:dyDescent="0.25">
      <c r="A31" s="2" t="s">
        <v>173</v>
      </c>
      <c r="B31" s="2" t="s">
        <v>157</v>
      </c>
      <c r="C31" s="10" t="s">
        <v>131</v>
      </c>
      <c r="D31" s="11">
        <v>3</v>
      </c>
      <c r="E31" s="10" t="s">
        <v>132</v>
      </c>
      <c r="F31" s="10" t="s">
        <v>121</v>
      </c>
      <c r="G31" s="12" t="s">
        <v>44</v>
      </c>
      <c r="H31" s="12" t="s">
        <v>44</v>
      </c>
      <c r="I31" s="12" t="s">
        <v>45</v>
      </c>
      <c r="J31" s="12" t="s">
        <v>44</v>
      </c>
      <c r="K31" s="12" t="s">
        <v>135</v>
      </c>
      <c r="U31" s="3"/>
    </row>
    <row r="32" spans="1:21" x14ac:dyDescent="0.25">
      <c r="A32" s="2" t="s">
        <v>173</v>
      </c>
      <c r="B32" s="2" t="s">
        <v>158</v>
      </c>
      <c r="C32" s="10" t="s">
        <v>131</v>
      </c>
      <c r="D32" s="11">
        <v>3</v>
      </c>
      <c r="E32" s="10" t="s">
        <v>157</v>
      </c>
      <c r="F32" s="10"/>
      <c r="G32" s="12" t="s">
        <v>44</v>
      </c>
      <c r="H32" s="12" t="s">
        <v>44</v>
      </c>
      <c r="I32" s="12"/>
      <c r="J32" s="12" t="s">
        <v>45</v>
      </c>
      <c r="K32" s="12" t="s">
        <v>135</v>
      </c>
      <c r="U32" s="3"/>
    </row>
    <row r="33" spans="1:21" x14ac:dyDescent="0.25">
      <c r="A33" s="2" t="s">
        <v>173</v>
      </c>
      <c r="B33" s="2" t="s">
        <v>29</v>
      </c>
      <c r="C33" s="10" t="s">
        <v>101</v>
      </c>
      <c r="D33" s="11">
        <v>3.5</v>
      </c>
      <c r="E33" s="10" t="s">
        <v>44</v>
      </c>
      <c r="F33" s="10" t="s">
        <v>44</v>
      </c>
      <c r="G33" s="12" t="s">
        <v>45</v>
      </c>
      <c r="H33" s="12" t="s">
        <v>44</v>
      </c>
      <c r="I33" s="12" t="s">
        <v>45</v>
      </c>
      <c r="J33" s="12" t="s">
        <v>45</v>
      </c>
      <c r="K33" s="12" t="s">
        <v>135</v>
      </c>
      <c r="U33" s="3"/>
    </row>
    <row r="34" spans="1:21" x14ac:dyDescent="0.25">
      <c r="A34" s="14" t="s">
        <v>173</v>
      </c>
      <c r="B34" s="14" t="s">
        <v>30</v>
      </c>
      <c r="C34" s="15" t="s">
        <v>102</v>
      </c>
      <c r="D34" s="16">
        <v>3.5</v>
      </c>
      <c r="E34" s="15" t="s">
        <v>103</v>
      </c>
      <c r="F34" s="15" t="s">
        <v>44</v>
      </c>
      <c r="G34" s="17" t="s">
        <v>44</v>
      </c>
      <c r="H34" s="17" t="s">
        <v>45</v>
      </c>
      <c r="I34" s="17" t="s">
        <v>45</v>
      </c>
      <c r="J34" s="17" t="s">
        <v>45</v>
      </c>
      <c r="K34" s="17" t="s">
        <v>135</v>
      </c>
      <c r="U34" s="3"/>
    </row>
    <row r="35" spans="1:21" x14ac:dyDescent="0.25">
      <c r="A35" s="2" t="s">
        <v>173</v>
      </c>
      <c r="B35" s="2" t="s">
        <v>31</v>
      </c>
      <c r="C35" s="10" t="s">
        <v>104</v>
      </c>
      <c r="D35" s="11">
        <v>3</v>
      </c>
      <c r="E35" s="10" t="s">
        <v>105</v>
      </c>
      <c r="F35" s="10" t="s">
        <v>44</v>
      </c>
      <c r="G35" s="12" t="s">
        <v>44</v>
      </c>
      <c r="H35" s="12" t="s">
        <v>44</v>
      </c>
      <c r="I35" s="12" t="s">
        <v>45</v>
      </c>
      <c r="J35" s="12" t="s">
        <v>45</v>
      </c>
      <c r="K35" s="12" t="s">
        <v>135</v>
      </c>
      <c r="U35" s="3"/>
    </row>
    <row r="36" spans="1:21" x14ac:dyDescent="0.25">
      <c r="A36" s="14" t="s">
        <v>173</v>
      </c>
      <c r="B36" s="14" t="s">
        <v>32</v>
      </c>
      <c r="C36" s="15" t="s">
        <v>106</v>
      </c>
      <c r="D36" s="16">
        <v>3</v>
      </c>
      <c r="E36" s="15" t="s">
        <v>98</v>
      </c>
      <c r="F36" s="15" t="s">
        <v>44</v>
      </c>
      <c r="G36" s="17" t="s">
        <v>45</v>
      </c>
      <c r="H36" s="17" t="s">
        <v>44</v>
      </c>
      <c r="I36" s="17" t="s">
        <v>45</v>
      </c>
      <c r="J36" s="17" t="s">
        <v>44</v>
      </c>
      <c r="K36" s="17" t="s">
        <v>135</v>
      </c>
      <c r="U36" s="3"/>
    </row>
    <row r="37" spans="1:21" x14ac:dyDescent="0.25">
      <c r="A37" s="2" t="s">
        <v>173</v>
      </c>
      <c r="B37" s="2" t="s">
        <v>76</v>
      </c>
      <c r="C37" s="10" t="s">
        <v>107</v>
      </c>
      <c r="D37" s="11">
        <v>1</v>
      </c>
      <c r="E37" s="10" t="s">
        <v>44</v>
      </c>
      <c r="F37" s="10" t="s">
        <v>32</v>
      </c>
      <c r="G37" s="17" t="s">
        <v>45</v>
      </c>
      <c r="H37" s="12" t="s">
        <v>44</v>
      </c>
      <c r="I37" s="12" t="s">
        <v>45</v>
      </c>
      <c r="J37" s="12" t="s">
        <v>44</v>
      </c>
      <c r="K37" s="12" t="s">
        <v>135</v>
      </c>
      <c r="U37" s="3"/>
    </row>
    <row r="38" spans="1:21" x14ac:dyDescent="0.25">
      <c r="A38" s="14" t="s">
        <v>173</v>
      </c>
      <c r="B38" s="14" t="s">
        <v>33</v>
      </c>
      <c r="C38" s="15" t="s">
        <v>108</v>
      </c>
      <c r="D38" s="16">
        <v>3.5</v>
      </c>
      <c r="E38" s="15" t="s">
        <v>109</v>
      </c>
      <c r="F38" s="15" t="s">
        <v>44</v>
      </c>
      <c r="G38" s="17" t="s">
        <v>44</v>
      </c>
      <c r="H38" s="17" t="s">
        <v>45</v>
      </c>
      <c r="I38" s="17" t="s">
        <v>45</v>
      </c>
      <c r="J38" s="17" t="s">
        <v>45</v>
      </c>
      <c r="K38" s="17" t="s">
        <v>135</v>
      </c>
      <c r="U38" s="3"/>
    </row>
    <row r="39" spans="1:21" x14ac:dyDescent="0.25">
      <c r="A39" s="2" t="s">
        <v>173</v>
      </c>
      <c r="B39" s="2" t="s">
        <v>34</v>
      </c>
      <c r="C39" s="10" t="s">
        <v>110</v>
      </c>
      <c r="D39" s="11">
        <v>3</v>
      </c>
      <c r="E39" s="10" t="s">
        <v>111</v>
      </c>
      <c r="F39" s="10" t="s">
        <v>44</v>
      </c>
      <c r="G39" s="12" t="s">
        <v>44</v>
      </c>
      <c r="H39" s="12" t="s">
        <v>44</v>
      </c>
      <c r="I39" s="12" t="s">
        <v>45</v>
      </c>
      <c r="J39" s="12" t="s">
        <v>45</v>
      </c>
      <c r="K39" s="12" t="s">
        <v>135</v>
      </c>
      <c r="U39" s="3"/>
    </row>
    <row r="40" spans="1:21" x14ac:dyDescent="0.25">
      <c r="A40" s="14" t="s">
        <v>173</v>
      </c>
      <c r="B40" s="14" t="s">
        <v>156</v>
      </c>
      <c r="C40" s="15" t="s">
        <v>150</v>
      </c>
      <c r="D40" s="16">
        <v>3</v>
      </c>
      <c r="E40" s="15"/>
      <c r="F40" s="15"/>
      <c r="G40" s="17"/>
      <c r="H40" s="17" t="s">
        <v>45</v>
      </c>
      <c r="I40" s="17" t="s">
        <v>45</v>
      </c>
      <c r="J40" s="17" t="s">
        <v>45</v>
      </c>
      <c r="K40" s="17" t="s">
        <v>150</v>
      </c>
      <c r="U40" s="3"/>
    </row>
    <row r="41" spans="1:21" x14ac:dyDescent="0.25">
      <c r="A41" s="2" t="s">
        <v>173</v>
      </c>
      <c r="B41" s="2" t="s">
        <v>153</v>
      </c>
      <c r="C41" s="10" t="s">
        <v>150</v>
      </c>
      <c r="D41" s="11">
        <v>3</v>
      </c>
      <c r="E41" s="10"/>
      <c r="F41" s="10"/>
      <c r="G41" s="12"/>
      <c r="H41" s="12" t="s">
        <v>45</v>
      </c>
      <c r="I41" s="12"/>
      <c r="J41" s="12" t="s">
        <v>45</v>
      </c>
      <c r="K41" s="12" t="s">
        <v>150</v>
      </c>
      <c r="U41" s="3"/>
    </row>
    <row r="42" spans="1:21" x14ac:dyDescent="0.25">
      <c r="A42" s="32" t="s">
        <v>173</v>
      </c>
      <c r="B42" s="2" t="s">
        <v>162</v>
      </c>
      <c r="C42" s="21"/>
      <c r="D42" s="8">
        <v>16</v>
      </c>
      <c r="E42" s="21" t="s">
        <v>161</v>
      </c>
      <c r="F42" s="21"/>
      <c r="G42" s="12" t="s">
        <v>45</v>
      </c>
      <c r="H42" s="12"/>
      <c r="I42" s="12" t="s">
        <v>45</v>
      </c>
      <c r="J42" s="12" t="s">
        <v>45</v>
      </c>
      <c r="K42" s="21" t="s">
        <v>165</v>
      </c>
      <c r="U42" s="3"/>
    </row>
    <row r="43" spans="1:21" x14ac:dyDescent="0.25">
      <c r="A43" s="32" t="s">
        <v>173</v>
      </c>
      <c r="B43" s="1" t="s">
        <v>163</v>
      </c>
      <c r="C43" s="21"/>
      <c r="D43" s="8">
        <v>16</v>
      </c>
      <c r="E43" s="21" t="s">
        <v>166</v>
      </c>
      <c r="F43" s="21"/>
      <c r="G43" s="12" t="s">
        <v>45</v>
      </c>
      <c r="H43" s="12"/>
      <c r="I43" s="12" t="s">
        <v>45</v>
      </c>
      <c r="J43" s="12" t="s">
        <v>45</v>
      </c>
      <c r="K43" s="21" t="s">
        <v>165</v>
      </c>
      <c r="U43" s="3"/>
    </row>
    <row r="44" spans="1:21" x14ac:dyDescent="0.25">
      <c r="A44" s="32" t="s">
        <v>173</v>
      </c>
      <c r="B44" s="14" t="s">
        <v>118</v>
      </c>
      <c r="C44" s="15" t="s">
        <v>175</v>
      </c>
      <c r="D44" s="16">
        <v>3.5</v>
      </c>
      <c r="E44" s="15" t="s">
        <v>117</v>
      </c>
      <c r="F44" s="15" t="s">
        <v>44</v>
      </c>
      <c r="G44" s="17" t="s">
        <v>44</v>
      </c>
      <c r="H44" s="17" t="s">
        <v>44</v>
      </c>
      <c r="I44" s="17" t="s">
        <v>45</v>
      </c>
      <c r="J44" s="17" t="s">
        <v>44</v>
      </c>
      <c r="K44" s="12" t="s">
        <v>135</v>
      </c>
      <c r="U44" s="3"/>
    </row>
    <row r="45" spans="1:21" x14ac:dyDescent="0.25">
      <c r="A45" s="2" t="s">
        <v>173</v>
      </c>
      <c r="B45" s="2" t="s">
        <v>176</v>
      </c>
      <c r="C45" s="10" t="s">
        <v>179</v>
      </c>
      <c r="D45" s="11">
        <v>3</v>
      </c>
      <c r="E45" s="10" t="s">
        <v>0</v>
      </c>
      <c r="F45" s="10" t="s">
        <v>9</v>
      </c>
      <c r="G45" s="12" t="s">
        <v>44</v>
      </c>
      <c r="H45" s="12" t="s">
        <v>44</v>
      </c>
      <c r="I45" s="12" t="s">
        <v>45</v>
      </c>
      <c r="J45" s="12" t="s">
        <v>44</v>
      </c>
      <c r="K45" s="12" t="s">
        <v>135</v>
      </c>
      <c r="U45" s="3"/>
    </row>
    <row r="46" spans="1:21" x14ac:dyDescent="0.25">
      <c r="A46" s="14" t="s">
        <v>173</v>
      </c>
      <c r="B46" s="2" t="s">
        <v>177</v>
      </c>
      <c r="C46" s="10" t="s">
        <v>178</v>
      </c>
      <c r="D46" s="11">
        <v>3.5</v>
      </c>
      <c r="E46" s="10" t="s">
        <v>115</v>
      </c>
      <c r="F46" s="10" t="s">
        <v>44</v>
      </c>
      <c r="G46" s="12" t="s">
        <v>44</v>
      </c>
      <c r="H46" s="12" t="s">
        <v>44</v>
      </c>
      <c r="I46" s="12" t="s">
        <v>45</v>
      </c>
      <c r="J46" s="12" t="s">
        <v>44</v>
      </c>
      <c r="K46" s="12" t="s">
        <v>135</v>
      </c>
      <c r="U46" s="3"/>
    </row>
    <row r="47" spans="1:21" x14ac:dyDescent="0.25">
      <c r="A47" s="1" t="s">
        <v>112</v>
      </c>
      <c r="B47" s="1" t="s">
        <v>142</v>
      </c>
      <c r="C47" s="7" t="s">
        <v>143</v>
      </c>
      <c r="D47" s="8">
        <v>3</v>
      </c>
      <c r="E47" s="7"/>
      <c r="F47" s="7"/>
      <c r="G47" s="9"/>
      <c r="H47" s="9" t="s">
        <v>45</v>
      </c>
      <c r="I47" s="9" t="s">
        <v>45</v>
      </c>
      <c r="J47" s="9" t="s">
        <v>45</v>
      </c>
      <c r="K47" s="9" t="s">
        <v>149</v>
      </c>
      <c r="U47" s="3"/>
    </row>
    <row r="48" spans="1:21" x14ac:dyDescent="0.25">
      <c r="A48" s="2" t="s">
        <v>112</v>
      </c>
      <c r="B48" s="2" t="s">
        <v>62</v>
      </c>
      <c r="C48" s="10" t="s">
        <v>148</v>
      </c>
      <c r="D48" s="11">
        <v>3</v>
      </c>
      <c r="E48" s="10"/>
      <c r="F48" s="10"/>
      <c r="G48" s="12"/>
      <c r="H48" s="12" t="s">
        <v>45</v>
      </c>
      <c r="I48" s="12" t="s">
        <v>45</v>
      </c>
      <c r="J48" s="12" t="s">
        <v>45</v>
      </c>
      <c r="K48" s="12" t="s">
        <v>149</v>
      </c>
      <c r="U48" s="3"/>
    </row>
    <row r="49" spans="1:21" x14ac:dyDescent="0.25">
      <c r="A49" s="1" t="s">
        <v>112</v>
      </c>
      <c r="B49" s="1" t="s">
        <v>140</v>
      </c>
      <c r="C49" s="7" t="s">
        <v>145</v>
      </c>
      <c r="D49" s="8">
        <v>3</v>
      </c>
      <c r="E49" s="7"/>
      <c r="F49" s="7"/>
      <c r="G49" s="9"/>
      <c r="H49" s="9" t="s">
        <v>45</v>
      </c>
      <c r="I49" s="9" t="s">
        <v>45</v>
      </c>
      <c r="J49" s="9" t="s">
        <v>45</v>
      </c>
      <c r="K49" s="9" t="s">
        <v>149</v>
      </c>
      <c r="U49" s="3"/>
    </row>
    <row r="50" spans="1:21" x14ac:dyDescent="0.25">
      <c r="A50" s="2" t="s">
        <v>112</v>
      </c>
      <c r="B50" s="2" t="s">
        <v>141</v>
      </c>
      <c r="C50" s="10" t="s">
        <v>144</v>
      </c>
      <c r="D50" s="11">
        <v>3</v>
      </c>
      <c r="E50" s="10"/>
      <c r="F50" s="10"/>
      <c r="G50" s="12"/>
      <c r="H50" s="12" t="s">
        <v>45</v>
      </c>
      <c r="I50" s="12" t="s">
        <v>45</v>
      </c>
      <c r="J50" s="12" t="s">
        <v>45</v>
      </c>
      <c r="K50" s="12" t="s">
        <v>149</v>
      </c>
      <c r="U50" s="3"/>
    </row>
    <row r="51" spans="1:21" x14ac:dyDescent="0.25">
      <c r="A51" s="2" t="s">
        <v>112</v>
      </c>
      <c r="B51" s="2" t="s">
        <v>123</v>
      </c>
      <c r="C51" s="10" t="s">
        <v>147</v>
      </c>
      <c r="D51" s="11">
        <v>3</v>
      </c>
      <c r="E51" s="10"/>
      <c r="F51" s="10"/>
      <c r="G51" s="12"/>
      <c r="H51" s="12" t="s">
        <v>45</v>
      </c>
      <c r="I51" s="12" t="s">
        <v>45</v>
      </c>
      <c r="J51" s="12" t="s">
        <v>45</v>
      </c>
      <c r="K51" s="12" t="s">
        <v>149</v>
      </c>
      <c r="U51" s="3"/>
    </row>
    <row r="52" spans="1:21" x14ac:dyDescent="0.25">
      <c r="A52" s="1" t="s">
        <v>112</v>
      </c>
      <c r="B52" s="1" t="s">
        <v>139</v>
      </c>
      <c r="C52" s="7" t="s">
        <v>146</v>
      </c>
      <c r="D52" s="8">
        <v>3</v>
      </c>
      <c r="E52" s="7"/>
      <c r="F52" s="7"/>
      <c r="G52" s="9"/>
      <c r="H52" s="9" t="s">
        <v>45</v>
      </c>
      <c r="I52" s="9" t="s">
        <v>45</v>
      </c>
      <c r="J52" s="9" t="s">
        <v>45</v>
      </c>
      <c r="K52" s="9" t="s">
        <v>149</v>
      </c>
      <c r="U52" s="3"/>
    </row>
    <row r="53" spans="1:21" x14ac:dyDescent="0.25">
      <c r="A53" s="2" t="s">
        <v>112</v>
      </c>
      <c r="B53" s="2" t="s">
        <v>0</v>
      </c>
      <c r="C53" s="10" t="s">
        <v>46</v>
      </c>
      <c r="D53" s="11">
        <v>3</v>
      </c>
      <c r="E53" s="10" t="s">
        <v>47</v>
      </c>
      <c r="F53" s="10" t="s">
        <v>44</v>
      </c>
      <c r="G53" s="12" t="s">
        <v>45</v>
      </c>
      <c r="H53" s="12" t="s">
        <v>45</v>
      </c>
      <c r="I53" s="12" t="s">
        <v>45</v>
      </c>
      <c r="J53" s="12" t="s">
        <v>45</v>
      </c>
      <c r="K53" s="12" t="s">
        <v>138</v>
      </c>
      <c r="U53" s="3"/>
    </row>
    <row r="54" spans="1:21" x14ac:dyDescent="0.25">
      <c r="A54" s="1" t="s">
        <v>112</v>
      </c>
      <c r="B54" s="1" t="s">
        <v>1</v>
      </c>
      <c r="C54" s="7" t="s">
        <v>48</v>
      </c>
      <c r="D54" s="8">
        <v>1.5</v>
      </c>
      <c r="E54" s="7" t="s">
        <v>44</v>
      </c>
      <c r="F54" s="7" t="s">
        <v>44</v>
      </c>
      <c r="G54" s="9" t="s">
        <v>45</v>
      </c>
      <c r="H54" s="9" t="s">
        <v>44</v>
      </c>
      <c r="I54" s="9" t="s">
        <v>45</v>
      </c>
      <c r="J54" s="9" t="s">
        <v>45</v>
      </c>
      <c r="K54" s="9" t="s">
        <v>138</v>
      </c>
      <c r="U54" s="3"/>
    </row>
    <row r="55" spans="1:21" x14ac:dyDescent="0.25">
      <c r="A55" s="2" t="s">
        <v>112</v>
      </c>
      <c r="B55" s="2" t="s">
        <v>2</v>
      </c>
      <c r="C55" s="10" t="s">
        <v>49</v>
      </c>
      <c r="D55" s="11">
        <v>1.5</v>
      </c>
      <c r="E55" s="10" t="s">
        <v>44</v>
      </c>
      <c r="F55" s="10" t="s">
        <v>44</v>
      </c>
      <c r="G55" s="12" t="s">
        <v>45</v>
      </c>
      <c r="H55" s="12" t="s">
        <v>44</v>
      </c>
      <c r="I55" s="12" t="s">
        <v>45</v>
      </c>
      <c r="J55" s="12" t="s">
        <v>45</v>
      </c>
      <c r="K55" s="12" t="s">
        <v>138</v>
      </c>
      <c r="U55" s="3"/>
    </row>
    <row r="56" spans="1:21" x14ac:dyDescent="0.25">
      <c r="A56" s="1" t="s">
        <v>112</v>
      </c>
      <c r="B56" s="1" t="s">
        <v>3</v>
      </c>
      <c r="C56" s="7" t="s">
        <v>50</v>
      </c>
      <c r="D56" s="8">
        <v>3</v>
      </c>
      <c r="E56" s="7" t="s">
        <v>51</v>
      </c>
      <c r="F56" s="7" t="s">
        <v>52</v>
      </c>
      <c r="G56" s="9" t="s">
        <v>45</v>
      </c>
      <c r="H56" s="9" t="s">
        <v>44</v>
      </c>
      <c r="I56" s="9" t="s">
        <v>45</v>
      </c>
      <c r="J56" s="9" t="s">
        <v>45</v>
      </c>
      <c r="K56" s="9" t="s">
        <v>138</v>
      </c>
    </row>
    <row r="57" spans="1:21" x14ac:dyDescent="0.25">
      <c r="A57" s="2" t="s">
        <v>112</v>
      </c>
      <c r="B57" s="2" t="s">
        <v>4</v>
      </c>
      <c r="C57" s="10" t="s">
        <v>53</v>
      </c>
      <c r="D57" s="11">
        <v>3</v>
      </c>
      <c r="E57" s="10" t="s">
        <v>54</v>
      </c>
      <c r="F57" s="10" t="s">
        <v>44</v>
      </c>
      <c r="G57" s="12" t="s">
        <v>45</v>
      </c>
      <c r="H57" s="12" t="s">
        <v>45</v>
      </c>
      <c r="I57" s="12" t="s">
        <v>45</v>
      </c>
      <c r="J57" s="12" t="s">
        <v>45</v>
      </c>
      <c r="K57" s="12" t="s">
        <v>138</v>
      </c>
    </row>
    <row r="58" spans="1:21" x14ac:dyDescent="0.25">
      <c r="A58" s="1" t="s">
        <v>112</v>
      </c>
      <c r="B58" s="1" t="s">
        <v>9</v>
      </c>
      <c r="C58" s="7" t="s">
        <v>63</v>
      </c>
      <c r="D58" s="8">
        <v>3</v>
      </c>
      <c r="E58" s="7" t="s">
        <v>44</v>
      </c>
      <c r="F58" s="7" t="s">
        <v>44</v>
      </c>
      <c r="G58" s="9" t="s">
        <v>45</v>
      </c>
      <c r="H58" s="9" t="s">
        <v>45</v>
      </c>
      <c r="I58" s="9" t="s">
        <v>45</v>
      </c>
      <c r="J58" s="9" t="s">
        <v>45</v>
      </c>
      <c r="K58" s="9" t="s">
        <v>138</v>
      </c>
    </row>
    <row r="59" spans="1:21" x14ac:dyDescent="0.25">
      <c r="A59" s="2" t="s">
        <v>112</v>
      </c>
      <c r="B59" s="2" t="s">
        <v>12</v>
      </c>
      <c r="C59" s="10" t="s">
        <v>68</v>
      </c>
      <c r="D59" s="11">
        <v>3</v>
      </c>
      <c r="E59" s="10" t="s">
        <v>65</v>
      </c>
      <c r="F59" s="10" t="s">
        <v>44</v>
      </c>
      <c r="G59" s="12" t="s">
        <v>45</v>
      </c>
      <c r="H59" s="12" t="s">
        <v>45</v>
      </c>
      <c r="I59" s="12" t="s">
        <v>45</v>
      </c>
      <c r="J59" s="12" t="s">
        <v>45</v>
      </c>
      <c r="K59" s="12" t="s">
        <v>138</v>
      </c>
    </row>
    <row r="60" spans="1:21" x14ac:dyDescent="0.25">
      <c r="A60" s="1" t="s">
        <v>112</v>
      </c>
      <c r="B60" s="1" t="s">
        <v>13</v>
      </c>
      <c r="C60" s="7" t="s">
        <v>69</v>
      </c>
      <c r="D60" s="8">
        <v>3</v>
      </c>
      <c r="E60" s="7" t="s">
        <v>70</v>
      </c>
      <c r="F60" s="7" t="s">
        <v>44</v>
      </c>
      <c r="G60" s="9" t="s">
        <v>44</v>
      </c>
      <c r="H60" s="9" t="s">
        <v>45</v>
      </c>
      <c r="I60" s="9" t="s">
        <v>45</v>
      </c>
      <c r="J60" s="9" t="s">
        <v>45</v>
      </c>
      <c r="K60" s="9" t="s">
        <v>138</v>
      </c>
    </row>
    <row r="61" spans="1:21" x14ac:dyDescent="0.25">
      <c r="A61" s="2" t="s">
        <v>112</v>
      </c>
      <c r="B61" s="2" t="s">
        <v>14</v>
      </c>
      <c r="C61" s="10" t="s">
        <v>71</v>
      </c>
      <c r="D61" s="11">
        <v>3</v>
      </c>
      <c r="E61" s="10" t="s">
        <v>72</v>
      </c>
      <c r="F61" s="10" t="s">
        <v>44</v>
      </c>
      <c r="G61" s="12" t="s">
        <v>45</v>
      </c>
      <c r="H61" s="12" t="s">
        <v>45</v>
      </c>
      <c r="I61" s="12" t="s">
        <v>45</v>
      </c>
      <c r="J61" s="12" t="s">
        <v>45</v>
      </c>
      <c r="K61" s="12" t="s">
        <v>138</v>
      </c>
    </row>
    <row r="62" spans="1:21" x14ac:dyDescent="0.25">
      <c r="A62" s="2" t="s">
        <v>112</v>
      </c>
      <c r="B62" s="2" t="s">
        <v>137</v>
      </c>
      <c r="C62" s="10" t="s">
        <v>136</v>
      </c>
      <c r="D62" s="11">
        <v>3</v>
      </c>
      <c r="E62" s="10"/>
      <c r="F62" s="10"/>
      <c r="G62" s="12" t="s">
        <v>45</v>
      </c>
      <c r="H62" s="12" t="s">
        <v>45</v>
      </c>
      <c r="I62" s="12" t="s">
        <v>45</v>
      </c>
      <c r="J62" s="12" t="s">
        <v>45</v>
      </c>
      <c r="K62" s="12" t="s">
        <v>138</v>
      </c>
    </row>
    <row r="63" spans="1:21" x14ac:dyDescent="0.25">
      <c r="A63" s="1" t="s">
        <v>112</v>
      </c>
      <c r="B63" s="1" t="s">
        <v>5</v>
      </c>
      <c r="C63" s="7" t="s">
        <v>55</v>
      </c>
      <c r="D63" s="8">
        <v>3</v>
      </c>
      <c r="E63" s="7" t="s">
        <v>3</v>
      </c>
      <c r="F63" s="7" t="s">
        <v>56</v>
      </c>
      <c r="G63" s="9" t="s">
        <v>45</v>
      </c>
      <c r="H63" s="9" t="s">
        <v>44</v>
      </c>
      <c r="I63" s="9" t="s">
        <v>45</v>
      </c>
      <c r="J63" s="9" t="s">
        <v>45</v>
      </c>
      <c r="K63" s="9" t="s">
        <v>135</v>
      </c>
    </row>
    <row r="64" spans="1:21" x14ac:dyDescent="0.25">
      <c r="A64" s="2" t="s">
        <v>112</v>
      </c>
      <c r="B64" s="2" t="s">
        <v>6</v>
      </c>
      <c r="C64" s="10" t="s">
        <v>57</v>
      </c>
      <c r="D64" s="11">
        <v>3</v>
      </c>
      <c r="E64" s="10" t="s">
        <v>58</v>
      </c>
      <c r="F64" s="10" t="s">
        <v>44</v>
      </c>
      <c r="G64" s="12" t="s">
        <v>45</v>
      </c>
      <c r="H64" s="12" t="s">
        <v>44</v>
      </c>
      <c r="I64" s="12" t="s">
        <v>45</v>
      </c>
      <c r="J64" s="12" t="s">
        <v>45</v>
      </c>
      <c r="K64" s="12" t="s">
        <v>135</v>
      </c>
    </row>
    <row r="65" spans="1:11" x14ac:dyDescent="0.25">
      <c r="A65" s="1" t="s">
        <v>112</v>
      </c>
      <c r="B65" s="1" t="s">
        <v>7</v>
      </c>
      <c r="C65" s="7" t="s">
        <v>59</v>
      </c>
      <c r="D65" s="8">
        <v>3.75</v>
      </c>
      <c r="E65" s="7" t="s">
        <v>60</v>
      </c>
      <c r="F65" s="7" t="s">
        <v>4</v>
      </c>
      <c r="G65" s="9" t="s">
        <v>45</v>
      </c>
      <c r="H65" s="9" t="s">
        <v>44</v>
      </c>
      <c r="I65" s="9" t="s">
        <v>45</v>
      </c>
      <c r="J65" s="9" t="s">
        <v>45</v>
      </c>
      <c r="K65" s="9" t="s">
        <v>135</v>
      </c>
    </row>
    <row r="66" spans="1:11" x14ac:dyDescent="0.25">
      <c r="A66" s="2" t="s">
        <v>112</v>
      </c>
      <c r="B66" s="2" t="s">
        <v>8</v>
      </c>
      <c r="C66" s="10" t="s">
        <v>61</v>
      </c>
      <c r="D66" s="11">
        <v>3</v>
      </c>
      <c r="E66" s="10" t="s">
        <v>62</v>
      </c>
      <c r="F66" s="10" t="s">
        <v>44</v>
      </c>
      <c r="G66" s="12" t="s">
        <v>45</v>
      </c>
      <c r="H66" s="12" t="s">
        <v>45</v>
      </c>
      <c r="I66" s="12" t="s">
        <v>45</v>
      </c>
      <c r="J66" s="12" t="s">
        <v>45</v>
      </c>
      <c r="K66" s="12" t="s">
        <v>135</v>
      </c>
    </row>
    <row r="67" spans="1:11" x14ac:dyDescent="0.25">
      <c r="A67" s="2" t="s">
        <v>112</v>
      </c>
      <c r="B67" s="2" t="s">
        <v>10</v>
      </c>
      <c r="C67" s="10" t="s">
        <v>64</v>
      </c>
      <c r="D67" s="11">
        <v>3</v>
      </c>
      <c r="E67" s="10" t="s">
        <v>65</v>
      </c>
      <c r="F67" s="10" t="s">
        <v>44</v>
      </c>
      <c r="G67" s="12" t="s">
        <v>45</v>
      </c>
      <c r="H67" s="12" t="s">
        <v>45</v>
      </c>
      <c r="I67" s="12" t="s">
        <v>45</v>
      </c>
      <c r="J67" s="12" t="s">
        <v>45</v>
      </c>
      <c r="K67" s="12" t="s">
        <v>135</v>
      </c>
    </row>
    <row r="68" spans="1:11" x14ac:dyDescent="0.25">
      <c r="A68" s="1" t="s">
        <v>112</v>
      </c>
      <c r="B68" s="1" t="s">
        <v>11</v>
      </c>
      <c r="C68" s="7" t="s">
        <v>66</v>
      </c>
      <c r="D68" s="8">
        <v>3</v>
      </c>
      <c r="E68" s="7" t="s">
        <v>67</v>
      </c>
      <c r="F68" s="7" t="s">
        <v>44</v>
      </c>
      <c r="G68" s="9" t="s">
        <v>45</v>
      </c>
      <c r="H68" s="9" t="s">
        <v>44</v>
      </c>
      <c r="I68" s="9" t="s">
        <v>45</v>
      </c>
      <c r="J68" s="9" t="s">
        <v>45</v>
      </c>
      <c r="K68" s="9" t="s">
        <v>135</v>
      </c>
    </row>
    <row r="69" spans="1:11" x14ac:dyDescent="0.25">
      <c r="A69" s="1" t="s">
        <v>112</v>
      </c>
      <c r="B69" s="1" t="s">
        <v>18</v>
      </c>
      <c r="C69" s="7" t="s">
        <v>78</v>
      </c>
      <c r="D69" s="8">
        <v>3.5</v>
      </c>
      <c r="E69" s="7" t="s">
        <v>79</v>
      </c>
      <c r="F69" s="7" t="s">
        <v>44</v>
      </c>
      <c r="G69" s="9" t="s">
        <v>44</v>
      </c>
      <c r="H69" s="9" t="s">
        <v>44</v>
      </c>
      <c r="I69" s="9" t="s">
        <v>44</v>
      </c>
      <c r="J69" s="9" t="s">
        <v>45</v>
      </c>
      <c r="K69" s="9" t="s">
        <v>135</v>
      </c>
    </row>
    <row r="70" spans="1:11" x14ac:dyDescent="0.25">
      <c r="A70" s="2" t="s">
        <v>112</v>
      </c>
      <c r="B70" s="2" t="s">
        <v>19</v>
      </c>
      <c r="C70" s="10" t="s">
        <v>80</v>
      </c>
      <c r="D70" s="11">
        <v>3.5</v>
      </c>
      <c r="E70" s="10" t="s">
        <v>81</v>
      </c>
      <c r="F70" s="10" t="s">
        <v>44</v>
      </c>
      <c r="G70" s="12" t="s">
        <v>44</v>
      </c>
      <c r="H70" s="12" t="s">
        <v>44</v>
      </c>
      <c r="I70" s="12" t="s">
        <v>45</v>
      </c>
      <c r="J70" s="12" t="s">
        <v>45</v>
      </c>
      <c r="K70" s="12" t="s">
        <v>135</v>
      </c>
    </row>
    <row r="71" spans="1:11" x14ac:dyDescent="0.25">
      <c r="A71" s="1" t="s">
        <v>112</v>
      </c>
      <c r="B71" s="1" t="s">
        <v>20</v>
      </c>
      <c r="C71" s="7" t="s">
        <v>82</v>
      </c>
      <c r="D71" s="8">
        <v>3</v>
      </c>
      <c r="E71" s="7" t="s">
        <v>83</v>
      </c>
      <c r="F71" s="7" t="s">
        <v>19</v>
      </c>
      <c r="G71" s="9" t="s">
        <v>44</v>
      </c>
      <c r="H71" s="9" t="s">
        <v>44</v>
      </c>
      <c r="I71" s="9" t="s">
        <v>45</v>
      </c>
      <c r="J71" s="9" t="s">
        <v>45</v>
      </c>
      <c r="K71" s="9" t="s">
        <v>135</v>
      </c>
    </row>
    <row r="72" spans="1:11" x14ac:dyDescent="0.25">
      <c r="A72" s="2" t="s">
        <v>112</v>
      </c>
      <c r="B72" s="2" t="s">
        <v>21</v>
      </c>
      <c r="C72" s="10" t="s">
        <v>84</v>
      </c>
      <c r="D72" s="11">
        <v>3.5</v>
      </c>
      <c r="E72" s="10" t="s">
        <v>8</v>
      </c>
      <c r="F72" s="10" t="s">
        <v>44</v>
      </c>
      <c r="G72" s="12" t="s">
        <v>44</v>
      </c>
      <c r="H72" s="12" t="s">
        <v>44</v>
      </c>
      <c r="I72" s="12" t="s">
        <v>45</v>
      </c>
      <c r="J72" s="12" t="s">
        <v>45</v>
      </c>
      <c r="K72" s="12" t="s">
        <v>135</v>
      </c>
    </row>
    <row r="73" spans="1:11" x14ac:dyDescent="0.25">
      <c r="A73" s="1" t="s">
        <v>112</v>
      </c>
      <c r="B73" s="1" t="s">
        <v>22</v>
      </c>
      <c r="C73" s="7" t="s">
        <v>85</v>
      </c>
      <c r="D73" s="8">
        <v>3.5</v>
      </c>
      <c r="E73" s="7" t="s">
        <v>86</v>
      </c>
      <c r="F73" s="7" t="s">
        <v>44</v>
      </c>
      <c r="G73" s="9" t="s">
        <v>44</v>
      </c>
      <c r="H73" s="9" t="s">
        <v>44</v>
      </c>
      <c r="I73" s="9" t="s">
        <v>45</v>
      </c>
      <c r="J73" s="9" t="s">
        <v>45</v>
      </c>
      <c r="K73" s="9" t="s">
        <v>135</v>
      </c>
    </row>
    <row r="74" spans="1:11" x14ac:dyDescent="0.25">
      <c r="A74" s="2" t="s">
        <v>112</v>
      </c>
      <c r="B74" s="2" t="s">
        <v>23</v>
      </c>
      <c r="C74" s="10" t="s">
        <v>87</v>
      </c>
      <c r="D74" s="11">
        <v>3.5</v>
      </c>
      <c r="E74" s="10" t="s">
        <v>11</v>
      </c>
      <c r="F74" s="10" t="s">
        <v>44</v>
      </c>
      <c r="G74" s="12" t="s">
        <v>44</v>
      </c>
      <c r="H74" s="12" t="s">
        <v>44</v>
      </c>
      <c r="I74" s="12" t="s">
        <v>45</v>
      </c>
      <c r="J74" s="12" t="s">
        <v>45</v>
      </c>
      <c r="K74" s="12" t="s">
        <v>135</v>
      </c>
    </row>
    <row r="75" spans="1:11" x14ac:dyDescent="0.25">
      <c r="A75" s="1" t="s">
        <v>112</v>
      </c>
      <c r="B75" s="1" t="s">
        <v>24</v>
      </c>
      <c r="C75" s="7" t="s">
        <v>88</v>
      </c>
      <c r="D75" s="8">
        <v>3.5</v>
      </c>
      <c r="E75" s="7" t="s">
        <v>89</v>
      </c>
      <c r="F75" s="7" t="s">
        <v>44</v>
      </c>
      <c r="G75" s="9" t="s">
        <v>44</v>
      </c>
      <c r="H75" s="9" t="s">
        <v>44</v>
      </c>
      <c r="I75" s="9" t="s">
        <v>45</v>
      </c>
      <c r="J75" s="9" t="s">
        <v>45</v>
      </c>
      <c r="K75" s="9" t="s">
        <v>135</v>
      </c>
    </row>
    <row r="76" spans="1:11" x14ac:dyDescent="0.25">
      <c r="A76" s="2" t="s">
        <v>112</v>
      </c>
      <c r="B76" s="2" t="s">
        <v>25</v>
      </c>
      <c r="C76" s="10" t="s">
        <v>90</v>
      </c>
      <c r="D76" s="11">
        <v>3.75</v>
      </c>
      <c r="E76" s="10" t="s">
        <v>91</v>
      </c>
      <c r="F76" s="10" t="s">
        <v>44</v>
      </c>
      <c r="G76" s="12" t="s">
        <v>44</v>
      </c>
      <c r="H76" s="12" t="s">
        <v>45</v>
      </c>
      <c r="I76" s="12" t="s">
        <v>45</v>
      </c>
      <c r="J76" s="12" t="s">
        <v>45</v>
      </c>
      <c r="K76" s="12" t="s">
        <v>135</v>
      </c>
    </row>
    <row r="77" spans="1:11" x14ac:dyDescent="0.25">
      <c r="A77" s="1" t="s">
        <v>112</v>
      </c>
      <c r="B77" s="1" t="s">
        <v>26</v>
      </c>
      <c r="C77" s="7" t="s">
        <v>92</v>
      </c>
      <c r="D77" s="8">
        <v>3.5</v>
      </c>
      <c r="E77" s="7" t="s">
        <v>93</v>
      </c>
      <c r="F77" s="7"/>
      <c r="G77" s="9" t="s">
        <v>44</v>
      </c>
      <c r="H77" s="9" t="s">
        <v>44</v>
      </c>
      <c r="I77" s="9" t="s">
        <v>45</v>
      </c>
      <c r="J77" s="9" t="s">
        <v>44</v>
      </c>
      <c r="K77" s="9" t="s">
        <v>135</v>
      </c>
    </row>
    <row r="78" spans="1:11" x14ac:dyDescent="0.25">
      <c r="A78" s="2" t="s">
        <v>112</v>
      </c>
      <c r="B78" s="2" t="s">
        <v>27</v>
      </c>
      <c r="C78" s="10" t="s">
        <v>94</v>
      </c>
      <c r="D78" s="11">
        <v>3.5</v>
      </c>
      <c r="E78" s="10" t="s">
        <v>95</v>
      </c>
      <c r="F78" s="10" t="s">
        <v>44</v>
      </c>
      <c r="G78" s="12" t="s">
        <v>44</v>
      </c>
      <c r="H78" s="12" t="s">
        <v>45</v>
      </c>
      <c r="I78" s="12" t="s">
        <v>45</v>
      </c>
      <c r="J78" s="12" t="s">
        <v>45</v>
      </c>
      <c r="K78" s="12" t="s">
        <v>135</v>
      </c>
    </row>
    <row r="79" spans="1:11" x14ac:dyDescent="0.25">
      <c r="A79" s="1" t="s">
        <v>112</v>
      </c>
      <c r="B79" s="1" t="s">
        <v>28</v>
      </c>
      <c r="C79" s="7" t="s">
        <v>96</v>
      </c>
      <c r="D79" s="8">
        <v>3.5</v>
      </c>
      <c r="E79" s="7" t="s">
        <v>97</v>
      </c>
      <c r="F79" s="7" t="s">
        <v>20</v>
      </c>
      <c r="G79" s="9" t="s">
        <v>44</v>
      </c>
      <c r="H79" s="9" t="s">
        <v>44</v>
      </c>
      <c r="I79" s="9" t="s">
        <v>45</v>
      </c>
      <c r="J79" s="9" t="s">
        <v>45</v>
      </c>
      <c r="K79" s="9" t="s">
        <v>135</v>
      </c>
    </row>
    <row r="80" spans="1:11" x14ac:dyDescent="0.25">
      <c r="A80" s="1" t="s">
        <v>112</v>
      </c>
      <c r="B80" s="1" t="s">
        <v>159</v>
      </c>
      <c r="C80" s="7" t="s">
        <v>99</v>
      </c>
      <c r="D80" s="8">
        <v>3</v>
      </c>
      <c r="E80" s="7" t="s">
        <v>100</v>
      </c>
      <c r="F80" s="7" t="s">
        <v>44</v>
      </c>
      <c r="G80" s="9" t="s">
        <v>44</v>
      </c>
      <c r="H80" s="9" t="s">
        <v>44</v>
      </c>
      <c r="I80" s="9" t="s">
        <v>45</v>
      </c>
      <c r="J80" s="9" t="s">
        <v>44</v>
      </c>
      <c r="K80" s="9" t="s">
        <v>135</v>
      </c>
    </row>
    <row r="81" spans="1:11" x14ac:dyDescent="0.25">
      <c r="A81" s="1" t="s">
        <v>112</v>
      </c>
      <c r="B81" s="1" t="s">
        <v>160</v>
      </c>
      <c r="C81" s="7" t="s">
        <v>99</v>
      </c>
      <c r="D81" s="8">
        <v>3</v>
      </c>
      <c r="E81" s="7" t="s">
        <v>159</v>
      </c>
      <c r="F81" s="7" t="s">
        <v>44</v>
      </c>
      <c r="G81" s="9" t="s">
        <v>44</v>
      </c>
      <c r="H81" s="9" t="s">
        <v>44</v>
      </c>
      <c r="I81" s="9"/>
      <c r="J81" s="9" t="s">
        <v>45</v>
      </c>
      <c r="K81" s="9" t="s">
        <v>135</v>
      </c>
    </row>
    <row r="82" spans="1:11" x14ac:dyDescent="0.25">
      <c r="A82" s="1" t="s">
        <v>112</v>
      </c>
      <c r="B82" s="1" t="s">
        <v>29</v>
      </c>
      <c r="C82" s="7" t="s">
        <v>101</v>
      </c>
      <c r="D82" s="8">
        <v>3.5</v>
      </c>
      <c r="E82" s="7" t="s">
        <v>44</v>
      </c>
      <c r="F82" s="7" t="s">
        <v>44</v>
      </c>
      <c r="G82" s="9" t="s">
        <v>45</v>
      </c>
      <c r="H82" s="9" t="s">
        <v>44</v>
      </c>
      <c r="I82" s="9" t="s">
        <v>45</v>
      </c>
      <c r="J82" s="9" t="s">
        <v>45</v>
      </c>
      <c r="K82" s="9" t="s">
        <v>135</v>
      </c>
    </row>
    <row r="83" spans="1:11" x14ac:dyDescent="0.25">
      <c r="A83" s="2" t="s">
        <v>112</v>
      </c>
      <c r="B83" s="2" t="s">
        <v>30</v>
      </c>
      <c r="C83" s="10" t="s">
        <v>102</v>
      </c>
      <c r="D83" s="11">
        <v>3.5</v>
      </c>
      <c r="E83" s="10" t="s">
        <v>103</v>
      </c>
      <c r="F83" s="10" t="s">
        <v>44</v>
      </c>
      <c r="G83" s="12" t="s">
        <v>44</v>
      </c>
      <c r="H83" s="12" t="s">
        <v>45</v>
      </c>
      <c r="I83" s="12" t="s">
        <v>45</v>
      </c>
      <c r="J83" s="12" t="s">
        <v>45</v>
      </c>
      <c r="K83" s="12" t="s">
        <v>135</v>
      </c>
    </row>
    <row r="84" spans="1:11" x14ac:dyDescent="0.25">
      <c r="A84" s="1" t="s">
        <v>112</v>
      </c>
      <c r="B84" s="1" t="s">
        <v>31</v>
      </c>
      <c r="C84" s="7" t="s">
        <v>104</v>
      </c>
      <c r="D84" s="8">
        <v>3</v>
      </c>
      <c r="E84" s="7" t="s">
        <v>105</v>
      </c>
      <c r="F84" s="7" t="s">
        <v>44</v>
      </c>
      <c r="G84" s="9" t="s">
        <v>44</v>
      </c>
      <c r="H84" s="9" t="s">
        <v>44</v>
      </c>
      <c r="I84" s="9" t="s">
        <v>45</v>
      </c>
      <c r="J84" s="9" t="s">
        <v>45</v>
      </c>
      <c r="K84" s="9" t="s">
        <v>135</v>
      </c>
    </row>
    <row r="85" spans="1:11" x14ac:dyDescent="0.25">
      <c r="A85" s="2" t="s">
        <v>112</v>
      </c>
      <c r="B85" s="2" t="s">
        <v>32</v>
      </c>
      <c r="C85" s="10" t="s">
        <v>106</v>
      </c>
      <c r="D85" s="11">
        <v>3</v>
      </c>
      <c r="E85" s="10" t="s">
        <v>98</v>
      </c>
      <c r="F85" s="10" t="s">
        <v>44</v>
      </c>
      <c r="G85" s="12" t="s">
        <v>45</v>
      </c>
      <c r="H85" s="12" t="s">
        <v>44</v>
      </c>
      <c r="I85" s="12" t="s">
        <v>45</v>
      </c>
      <c r="J85" s="12" t="s">
        <v>44</v>
      </c>
      <c r="K85" s="12" t="s">
        <v>135</v>
      </c>
    </row>
    <row r="86" spans="1:11" x14ac:dyDescent="0.25">
      <c r="A86" s="1" t="s">
        <v>112</v>
      </c>
      <c r="B86" s="1" t="s">
        <v>76</v>
      </c>
      <c r="C86" s="7" t="s">
        <v>107</v>
      </c>
      <c r="D86" s="8">
        <v>1</v>
      </c>
      <c r="E86" s="7" t="s">
        <v>44</v>
      </c>
      <c r="F86" s="7" t="s">
        <v>32</v>
      </c>
      <c r="G86" s="9" t="s">
        <v>45</v>
      </c>
      <c r="H86" s="9" t="s">
        <v>44</v>
      </c>
      <c r="I86" s="9" t="s">
        <v>45</v>
      </c>
      <c r="J86" s="9" t="s">
        <v>44</v>
      </c>
      <c r="K86" s="9" t="s">
        <v>135</v>
      </c>
    </row>
    <row r="87" spans="1:11" x14ac:dyDescent="0.25">
      <c r="A87" s="2" t="s">
        <v>112</v>
      </c>
      <c r="B87" s="2" t="s">
        <v>33</v>
      </c>
      <c r="C87" s="10" t="s">
        <v>108</v>
      </c>
      <c r="D87" s="11">
        <v>3.5</v>
      </c>
      <c r="E87" s="10" t="s">
        <v>109</v>
      </c>
      <c r="F87" s="10" t="s">
        <v>44</v>
      </c>
      <c r="G87" s="12" t="s">
        <v>44</v>
      </c>
      <c r="H87" s="12" t="s">
        <v>45</v>
      </c>
      <c r="I87" s="12" t="s">
        <v>45</v>
      </c>
      <c r="J87" s="12" t="s">
        <v>45</v>
      </c>
      <c r="K87" s="12" t="s">
        <v>135</v>
      </c>
    </row>
    <row r="88" spans="1:11" x14ac:dyDescent="0.25">
      <c r="A88" s="1" t="s">
        <v>112</v>
      </c>
      <c r="B88" s="13" t="s">
        <v>34</v>
      </c>
      <c r="C88" s="24" t="s">
        <v>110</v>
      </c>
      <c r="D88" s="18">
        <v>3</v>
      </c>
      <c r="E88" s="24" t="s">
        <v>111</v>
      </c>
      <c r="F88" s="24" t="s">
        <v>44</v>
      </c>
      <c r="G88" s="9" t="s">
        <v>44</v>
      </c>
      <c r="H88" s="25" t="s">
        <v>44</v>
      </c>
      <c r="I88" s="9" t="s">
        <v>45</v>
      </c>
      <c r="J88" s="9" t="s">
        <v>45</v>
      </c>
      <c r="K88" s="25" t="s">
        <v>135</v>
      </c>
    </row>
    <row r="89" spans="1:11" x14ac:dyDescent="0.25">
      <c r="A89" s="2" t="s">
        <v>112</v>
      </c>
      <c r="B89" s="19" t="s">
        <v>151</v>
      </c>
      <c r="C89" s="22" t="s">
        <v>150</v>
      </c>
      <c r="D89" s="20">
        <v>3</v>
      </c>
      <c r="E89" s="22"/>
      <c r="F89" s="22"/>
      <c r="G89" s="12"/>
      <c r="H89" s="23" t="s">
        <v>45</v>
      </c>
      <c r="I89" s="12" t="s">
        <v>45</v>
      </c>
      <c r="J89" s="12" t="s">
        <v>45</v>
      </c>
      <c r="K89" s="23" t="s">
        <v>150</v>
      </c>
    </row>
    <row r="90" spans="1:11" x14ac:dyDescent="0.25">
      <c r="A90" s="1" t="s">
        <v>112</v>
      </c>
      <c r="B90" s="13" t="s">
        <v>152</v>
      </c>
      <c r="C90" s="24" t="s">
        <v>150</v>
      </c>
      <c r="D90" s="18">
        <v>3</v>
      </c>
      <c r="E90" s="24"/>
      <c r="F90" s="24"/>
      <c r="G90" s="9"/>
      <c r="H90" s="25" t="s">
        <v>45</v>
      </c>
      <c r="I90" s="9" t="s">
        <v>45</v>
      </c>
      <c r="J90" s="9" t="s">
        <v>45</v>
      </c>
      <c r="K90" s="25" t="s">
        <v>150</v>
      </c>
    </row>
    <row r="91" spans="1:11" x14ac:dyDescent="0.25">
      <c r="A91" s="2" t="s">
        <v>112</v>
      </c>
      <c r="B91" s="13" t="s">
        <v>161</v>
      </c>
      <c r="D91" s="18">
        <v>16</v>
      </c>
      <c r="E91" t="s">
        <v>164</v>
      </c>
      <c r="G91" s="12" t="s">
        <v>45</v>
      </c>
      <c r="I91" s="12" t="s">
        <v>45</v>
      </c>
      <c r="J91" s="12" t="s">
        <v>45</v>
      </c>
      <c r="K91" t="s">
        <v>165</v>
      </c>
    </row>
    <row r="92" spans="1:11" x14ac:dyDescent="0.25">
      <c r="A92" s="2" t="s">
        <v>112</v>
      </c>
      <c r="B92" s="19" t="s">
        <v>162</v>
      </c>
      <c r="D92" s="20">
        <v>16</v>
      </c>
      <c r="E92" t="s">
        <v>161</v>
      </c>
      <c r="G92" s="12" t="s">
        <v>45</v>
      </c>
      <c r="I92" s="12" t="s">
        <v>45</v>
      </c>
      <c r="J92" s="12" t="s">
        <v>45</v>
      </c>
      <c r="K92" t="s">
        <v>165</v>
      </c>
    </row>
    <row r="93" spans="1:11" x14ac:dyDescent="0.25">
      <c r="A93" s="2" t="s">
        <v>112</v>
      </c>
      <c r="B93" s="13" t="s">
        <v>163</v>
      </c>
      <c r="D93" s="18">
        <v>16</v>
      </c>
      <c r="E93" t="s">
        <v>162</v>
      </c>
      <c r="G93" s="12" t="s">
        <v>45</v>
      </c>
      <c r="I93" s="12" t="s">
        <v>45</v>
      </c>
      <c r="J93" s="12" t="s">
        <v>45</v>
      </c>
      <c r="K93" t="s">
        <v>165</v>
      </c>
    </row>
    <row r="94" spans="1:11" x14ac:dyDescent="0.25">
      <c r="A94" s="32" t="s">
        <v>173</v>
      </c>
      <c r="B94" s="26" t="s">
        <v>154</v>
      </c>
      <c r="C94" s="27" t="s">
        <v>150</v>
      </c>
      <c r="D94" s="28">
        <v>3</v>
      </c>
      <c r="E94" s="27"/>
      <c r="F94" s="27"/>
      <c r="G94" s="66"/>
      <c r="H94" s="66"/>
      <c r="I94" s="66" t="s">
        <v>45</v>
      </c>
      <c r="J94" s="66" t="s">
        <v>45</v>
      </c>
      <c r="K94" s="17" t="s">
        <v>150</v>
      </c>
    </row>
    <row r="95" spans="1:11" x14ac:dyDescent="0.25">
      <c r="A95" s="32" t="s">
        <v>173</v>
      </c>
      <c r="B95" s="29" t="s">
        <v>155</v>
      </c>
      <c r="C95" s="30" t="s">
        <v>150</v>
      </c>
      <c r="D95" s="31">
        <v>3</v>
      </c>
      <c r="E95" s="30"/>
      <c r="F95" s="30"/>
      <c r="G95" s="67"/>
      <c r="H95" s="67"/>
      <c r="I95" s="67" t="s">
        <v>45</v>
      </c>
      <c r="J95" s="67" t="s">
        <v>45</v>
      </c>
      <c r="K95" s="12" t="s">
        <v>150</v>
      </c>
    </row>
    <row r="96" spans="1:11" x14ac:dyDescent="0.25">
      <c r="A96" s="32" t="s">
        <v>173</v>
      </c>
      <c r="B96" s="33" t="s">
        <v>161</v>
      </c>
      <c r="C96" s="34"/>
      <c r="D96" s="35">
        <v>16</v>
      </c>
      <c r="E96" s="34" t="s">
        <v>164</v>
      </c>
      <c r="F96" s="34"/>
      <c r="G96" s="67" t="s">
        <v>45</v>
      </c>
      <c r="H96" s="67"/>
      <c r="I96" s="67" t="s">
        <v>45</v>
      </c>
      <c r="J96" s="67" t="s">
        <v>45</v>
      </c>
      <c r="K96" s="21" t="s">
        <v>165</v>
      </c>
    </row>
    <row r="97" spans="1:21" s="60" customFormat="1" x14ac:dyDescent="0.25">
      <c r="A97" s="56" t="s">
        <v>180</v>
      </c>
      <c r="B97" s="56" t="s">
        <v>142</v>
      </c>
      <c r="C97" s="57" t="s">
        <v>143</v>
      </c>
      <c r="D97" s="58">
        <v>3</v>
      </c>
      <c r="E97" s="57"/>
      <c r="F97" s="57"/>
      <c r="G97" s="59"/>
      <c r="H97" s="59" t="s">
        <v>45</v>
      </c>
      <c r="I97" s="59" t="s">
        <v>45</v>
      </c>
      <c r="J97" s="59" t="s">
        <v>45</v>
      </c>
      <c r="K97" s="59" t="s">
        <v>149</v>
      </c>
      <c r="P97" s="56" t="s">
        <v>133</v>
      </c>
      <c r="Q97" s="60" t="s">
        <v>161</v>
      </c>
      <c r="R97" s="60">
        <v>2</v>
      </c>
      <c r="S97" s="60" t="s">
        <v>42</v>
      </c>
      <c r="U97" s="61"/>
    </row>
    <row r="98" spans="1:21" s="60" customFormat="1" x14ac:dyDescent="0.25">
      <c r="A98" s="56" t="s">
        <v>180</v>
      </c>
      <c r="B98" s="62" t="s">
        <v>62</v>
      </c>
      <c r="C98" s="63" t="s">
        <v>148</v>
      </c>
      <c r="D98" s="64">
        <v>3</v>
      </c>
      <c r="E98" s="63"/>
      <c r="F98" s="63"/>
      <c r="G98" s="65"/>
      <c r="H98" s="65" t="s">
        <v>45</v>
      </c>
      <c r="I98" s="65" t="s">
        <v>45</v>
      </c>
      <c r="J98" s="65" t="s">
        <v>45</v>
      </c>
      <c r="K98" s="65" t="s">
        <v>149</v>
      </c>
      <c r="P98" s="62" t="s">
        <v>133</v>
      </c>
      <c r="Q98" s="60" t="s">
        <v>162</v>
      </c>
      <c r="R98" s="60">
        <v>3</v>
      </c>
      <c r="S98" s="60" t="s">
        <v>43</v>
      </c>
      <c r="U98" s="61"/>
    </row>
    <row r="99" spans="1:21" s="60" customFormat="1" x14ac:dyDescent="0.25">
      <c r="A99" s="56" t="s">
        <v>180</v>
      </c>
      <c r="B99" s="56" t="s">
        <v>140</v>
      </c>
      <c r="C99" s="57" t="s">
        <v>145</v>
      </c>
      <c r="D99" s="58">
        <v>3</v>
      </c>
      <c r="E99" s="57"/>
      <c r="F99" s="57"/>
      <c r="G99" s="59"/>
      <c r="H99" s="59" t="s">
        <v>45</v>
      </c>
      <c r="I99" s="59" t="s">
        <v>45</v>
      </c>
      <c r="J99" s="59" t="s">
        <v>45</v>
      </c>
      <c r="K99" s="59" t="s">
        <v>149</v>
      </c>
      <c r="P99" s="56" t="s">
        <v>133</v>
      </c>
      <c r="Q99" s="60" t="s">
        <v>163</v>
      </c>
      <c r="R99" s="60">
        <v>4</v>
      </c>
      <c r="S99" s="60" t="s">
        <v>40</v>
      </c>
      <c r="U99" s="61"/>
    </row>
    <row r="100" spans="1:21" s="60" customFormat="1" x14ac:dyDescent="0.25">
      <c r="A100" s="56" t="s">
        <v>180</v>
      </c>
      <c r="B100" s="62" t="s">
        <v>141</v>
      </c>
      <c r="C100" s="63" t="s">
        <v>144</v>
      </c>
      <c r="D100" s="64">
        <v>3</v>
      </c>
      <c r="E100" s="63"/>
      <c r="F100" s="63"/>
      <c r="G100" s="65"/>
      <c r="H100" s="65" t="s">
        <v>45</v>
      </c>
      <c r="I100" s="65" t="s">
        <v>45</v>
      </c>
      <c r="J100" s="65" t="s">
        <v>45</v>
      </c>
      <c r="K100" s="65" t="s">
        <v>149</v>
      </c>
      <c r="P100" s="56" t="s">
        <v>112</v>
      </c>
      <c r="Q100" s="60" t="s">
        <v>161</v>
      </c>
      <c r="R100" s="60">
        <v>2</v>
      </c>
      <c r="S100" s="60" t="s">
        <v>42</v>
      </c>
      <c r="U100" s="61"/>
    </row>
    <row r="101" spans="1:21" s="60" customFormat="1" x14ac:dyDescent="0.25">
      <c r="A101" s="56" t="s">
        <v>180</v>
      </c>
      <c r="B101" s="62" t="s">
        <v>123</v>
      </c>
      <c r="C101" s="63" t="s">
        <v>147</v>
      </c>
      <c r="D101" s="64">
        <v>3</v>
      </c>
      <c r="E101" s="63"/>
      <c r="F101" s="63"/>
      <c r="G101" s="65"/>
      <c r="H101" s="65" t="s">
        <v>45</v>
      </c>
      <c r="I101" s="65" t="s">
        <v>45</v>
      </c>
      <c r="J101" s="65" t="s">
        <v>45</v>
      </c>
      <c r="K101" s="65" t="s">
        <v>149</v>
      </c>
      <c r="P101" s="56" t="s">
        <v>112</v>
      </c>
      <c r="Q101" s="60" t="s">
        <v>162</v>
      </c>
      <c r="R101" s="60">
        <v>3</v>
      </c>
      <c r="S101" s="60" t="s">
        <v>43</v>
      </c>
      <c r="U101" s="61"/>
    </row>
    <row r="102" spans="1:21" s="60" customFormat="1" x14ac:dyDescent="0.25">
      <c r="A102" s="56" t="s">
        <v>180</v>
      </c>
      <c r="B102" s="56" t="s">
        <v>139</v>
      </c>
      <c r="C102" s="57" t="s">
        <v>146</v>
      </c>
      <c r="D102" s="58">
        <v>3</v>
      </c>
      <c r="E102" s="57"/>
      <c r="F102" s="57"/>
      <c r="G102" s="59"/>
      <c r="H102" s="59" t="s">
        <v>45</v>
      </c>
      <c r="I102" s="59" t="s">
        <v>45</v>
      </c>
      <c r="J102" s="59" t="s">
        <v>45</v>
      </c>
      <c r="K102" s="59" t="s">
        <v>149</v>
      </c>
      <c r="P102" s="56" t="s">
        <v>112</v>
      </c>
      <c r="Q102" s="60" t="s">
        <v>163</v>
      </c>
      <c r="R102" s="60">
        <v>4</v>
      </c>
      <c r="S102" s="60" t="s">
        <v>40</v>
      </c>
      <c r="U102" s="61"/>
    </row>
    <row r="103" spans="1:21" s="60" customFormat="1" x14ac:dyDescent="0.25">
      <c r="A103" s="56" t="s">
        <v>180</v>
      </c>
      <c r="B103" s="56" t="s">
        <v>170</v>
      </c>
      <c r="C103" s="57" t="s">
        <v>171</v>
      </c>
      <c r="D103" s="58">
        <v>3</v>
      </c>
      <c r="E103" s="57"/>
      <c r="F103" s="57"/>
      <c r="G103" s="59"/>
      <c r="H103" s="59"/>
      <c r="I103" s="59"/>
      <c r="J103" s="65" t="s">
        <v>45</v>
      </c>
      <c r="K103" s="65" t="s">
        <v>138</v>
      </c>
      <c r="U103" s="61"/>
    </row>
    <row r="104" spans="1:21" s="60" customFormat="1" x14ac:dyDescent="0.25">
      <c r="A104" s="56" t="s">
        <v>180</v>
      </c>
      <c r="B104" s="62" t="s">
        <v>0</v>
      </c>
      <c r="C104" s="63" t="s">
        <v>46</v>
      </c>
      <c r="D104" s="64">
        <v>3</v>
      </c>
      <c r="E104" s="63" t="s">
        <v>47</v>
      </c>
      <c r="F104" s="63" t="s">
        <v>44</v>
      </c>
      <c r="G104" s="65" t="s">
        <v>45</v>
      </c>
      <c r="H104" s="65" t="s">
        <v>45</v>
      </c>
      <c r="I104" s="65" t="s">
        <v>45</v>
      </c>
      <c r="J104" s="65" t="s">
        <v>45</v>
      </c>
      <c r="K104" s="65" t="s">
        <v>138</v>
      </c>
      <c r="U104" s="61"/>
    </row>
    <row r="105" spans="1:21" s="60" customFormat="1" x14ac:dyDescent="0.25">
      <c r="A105" s="56" t="s">
        <v>180</v>
      </c>
      <c r="B105" s="56" t="s">
        <v>1</v>
      </c>
      <c r="C105" s="57" t="s">
        <v>48</v>
      </c>
      <c r="D105" s="58">
        <v>1.5</v>
      </c>
      <c r="E105" s="57" t="s">
        <v>44</v>
      </c>
      <c r="F105" s="57" t="s">
        <v>44</v>
      </c>
      <c r="G105" s="59" t="s">
        <v>45</v>
      </c>
      <c r="H105" s="59" t="s">
        <v>44</v>
      </c>
      <c r="I105" s="59" t="s">
        <v>45</v>
      </c>
      <c r="J105" s="59" t="s">
        <v>45</v>
      </c>
      <c r="K105" s="59" t="s">
        <v>138</v>
      </c>
      <c r="U105" s="61"/>
    </row>
    <row r="106" spans="1:21" s="60" customFormat="1" x14ac:dyDescent="0.25">
      <c r="A106" s="56" t="s">
        <v>180</v>
      </c>
      <c r="B106" s="62" t="s">
        <v>2</v>
      </c>
      <c r="C106" s="63" t="s">
        <v>49</v>
      </c>
      <c r="D106" s="64">
        <v>1.5</v>
      </c>
      <c r="E106" s="63" t="s">
        <v>44</v>
      </c>
      <c r="F106" s="63" t="s">
        <v>44</v>
      </c>
      <c r="G106" s="65" t="s">
        <v>45</v>
      </c>
      <c r="H106" s="65" t="s">
        <v>44</v>
      </c>
      <c r="I106" s="65" t="s">
        <v>45</v>
      </c>
      <c r="J106" s="65" t="s">
        <v>45</v>
      </c>
      <c r="K106" s="65" t="s">
        <v>138</v>
      </c>
      <c r="U106" s="61"/>
    </row>
    <row r="107" spans="1:21" s="60" customFormat="1" x14ac:dyDescent="0.25">
      <c r="A107" s="56" t="s">
        <v>180</v>
      </c>
      <c r="B107" s="56" t="s">
        <v>3</v>
      </c>
      <c r="C107" s="57" t="s">
        <v>50</v>
      </c>
      <c r="D107" s="58">
        <v>3</v>
      </c>
      <c r="E107" s="57" t="s">
        <v>51</v>
      </c>
      <c r="F107" s="57" t="s">
        <v>52</v>
      </c>
      <c r="G107" s="59" t="s">
        <v>45</v>
      </c>
      <c r="H107" s="59" t="s">
        <v>44</v>
      </c>
      <c r="I107" s="59" t="s">
        <v>45</v>
      </c>
      <c r="J107" s="59" t="s">
        <v>45</v>
      </c>
      <c r="K107" s="59" t="s">
        <v>138</v>
      </c>
      <c r="U107" s="61"/>
    </row>
    <row r="108" spans="1:21" s="60" customFormat="1" x14ac:dyDescent="0.25">
      <c r="A108" s="56" t="s">
        <v>180</v>
      </c>
      <c r="B108" s="62" t="s">
        <v>4</v>
      </c>
      <c r="C108" s="63" t="s">
        <v>53</v>
      </c>
      <c r="D108" s="64">
        <v>3</v>
      </c>
      <c r="E108" s="63" t="s">
        <v>54</v>
      </c>
      <c r="F108" s="63" t="s">
        <v>44</v>
      </c>
      <c r="G108" s="65" t="s">
        <v>45</v>
      </c>
      <c r="H108" s="65" t="s">
        <v>45</v>
      </c>
      <c r="I108" s="65" t="s">
        <v>45</v>
      </c>
      <c r="J108" s="65" t="s">
        <v>45</v>
      </c>
      <c r="K108" s="65" t="s">
        <v>138</v>
      </c>
      <c r="U108" s="61"/>
    </row>
    <row r="109" spans="1:21" s="60" customFormat="1" x14ac:dyDescent="0.25">
      <c r="A109" s="56" t="s">
        <v>180</v>
      </c>
      <c r="B109" s="56" t="s">
        <v>9</v>
      </c>
      <c r="C109" s="57" t="s">
        <v>63</v>
      </c>
      <c r="D109" s="58">
        <v>3</v>
      </c>
      <c r="E109" s="57" t="s">
        <v>44</v>
      </c>
      <c r="F109" s="57" t="s">
        <v>44</v>
      </c>
      <c r="G109" s="59" t="s">
        <v>45</v>
      </c>
      <c r="H109" s="59" t="s">
        <v>45</v>
      </c>
      <c r="I109" s="59" t="s">
        <v>45</v>
      </c>
      <c r="J109" s="59" t="s">
        <v>45</v>
      </c>
      <c r="K109" s="59" t="s">
        <v>138</v>
      </c>
      <c r="U109" s="61"/>
    </row>
    <row r="110" spans="1:21" s="60" customFormat="1" x14ac:dyDescent="0.25">
      <c r="A110" s="56" t="s">
        <v>180</v>
      </c>
      <c r="B110" s="56" t="s">
        <v>12</v>
      </c>
      <c r="C110" s="57" t="s">
        <v>68</v>
      </c>
      <c r="D110" s="58">
        <v>3</v>
      </c>
      <c r="E110" s="57" t="s">
        <v>65</v>
      </c>
      <c r="F110" s="57" t="s">
        <v>44</v>
      </c>
      <c r="G110" s="59" t="s">
        <v>45</v>
      </c>
      <c r="H110" s="59" t="s">
        <v>45</v>
      </c>
      <c r="I110" s="59" t="s">
        <v>45</v>
      </c>
      <c r="J110" s="59" t="s">
        <v>45</v>
      </c>
      <c r="K110" s="59" t="s">
        <v>138</v>
      </c>
      <c r="U110" s="61"/>
    </row>
    <row r="111" spans="1:21" s="60" customFormat="1" x14ac:dyDescent="0.25">
      <c r="A111" s="56" t="s">
        <v>180</v>
      </c>
      <c r="B111" s="62" t="s">
        <v>13</v>
      </c>
      <c r="C111" s="63" t="s">
        <v>69</v>
      </c>
      <c r="D111" s="64">
        <v>3</v>
      </c>
      <c r="E111" s="63" t="s">
        <v>70</v>
      </c>
      <c r="F111" s="63" t="s">
        <v>44</v>
      </c>
      <c r="G111" s="65" t="s">
        <v>44</v>
      </c>
      <c r="H111" s="65" t="s">
        <v>45</v>
      </c>
      <c r="I111" s="65" t="s">
        <v>45</v>
      </c>
      <c r="J111" s="65" t="s">
        <v>45</v>
      </c>
      <c r="K111" s="65" t="s">
        <v>138</v>
      </c>
      <c r="U111" s="61"/>
    </row>
    <row r="112" spans="1:21" s="60" customFormat="1" x14ac:dyDescent="0.25">
      <c r="A112" s="56" t="s">
        <v>180</v>
      </c>
      <c r="B112" s="56" t="s">
        <v>14</v>
      </c>
      <c r="C112" s="57" t="s">
        <v>71</v>
      </c>
      <c r="D112" s="58">
        <v>3</v>
      </c>
      <c r="E112" s="57" t="s">
        <v>72</v>
      </c>
      <c r="F112" s="57" t="s">
        <v>44</v>
      </c>
      <c r="G112" s="59" t="s">
        <v>45</v>
      </c>
      <c r="H112" s="59" t="s">
        <v>45</v>
      </c>
      <c r="I112" s="59" t="s">
        <v>45</v>
      </c>
      <c r="J112" s="59" t="s">
        <v>45</v>
      </c>
      <c r="K112" s="59" t="s">
        <v>138</v>
      </c>
      <c r="U112" s="61"/>
    </row>
    <row r="113" spans="1:21" s="60" customFormat="1" x14ac:dyDescent="0.25">
      <c r="A113" s="56" t="s">
        <v>180</v>
      </c>
      <c r="B113" s="62" t="s">
        <v>137</v>
      </c>
      <c r="C113" s="63" t="s">
        <v>136</v>
      </c>
      <c r="D113" s="64">
        <v>3</v>
      </c>
      <c r="E113" s="63"/>
      <c r="F113" s="63"/>
      <c r="G113" s="65" t="s">
        <v>45</v>
      </c>
      <c r="H113" s="65" t="s">
        <v>45</v>
      </c>
      <c r="I113" s="65" t="s">
        <v>45</v>
      </c>
      <c r="J113" s="65" t="s">
        <v>45</v>
      </c>
      <c r="K113" s="65" t="s">
        <v>138</v>
      </c>
      <c r="U113" s="61"/>
    </row>
    <row r="114" spans="1:21" s="40" customFormat="1" x14ac:dyDescent="0.25">
      <c r="A114" s="42" t="s">
        <v>181</v>
      </c>
      <c r="B114" s="36" t="s">
        <v>142</v>
      </c>
      <c r="C114" s="37" t="s">
        <v>143</v>
      </c>
      <c r="D114" s="38">
        <v>3</v>
      </c>
      <c r="E114" s="37"/>
      <c r="F114" s="37"/>
      <c r="G114" s="39"/>
      <c r="H114" s="39" t="s">
        <v>45</v>
      </c>
      <c r="I114" s="39" t="s">
        <v>45</v>
      </c>
      <c r="J114" s="39" t="s">
        <v>45</v>
      </c>
      <c r="K114" s="39" t="s">
        <v>149</v>
      </c>
      <c r="P114" s="36" t="s">
        <v>133</v>
      </c>
      <c r="Q114" s="40" t="s">
        <v>161</v>
      </c>
      <c r="R114" s="40">
        <v>2</v>
      </c>
      <c r="S114" s="40" t="s">
        <v>42</v>
      </c>
      <c r="U114" s="41"/>
    </row>
    <row r="115" spans="1:21" s="40" customFormat="1" x14ac:dyDescent="0.25">
      <c r="A115" s="42" t="s">
        <v>181</v>
      </c>
      <c r="B115" s="42" t="s">
        <v>62</v>
      </c>
      <c r="C115" s="43" t="s">
        <v>148</v>
      </c>
      <c r="D115" s="44">
        <v>3</v>
      </c>
      <c r="E115" s="43"/>
      <c r="F115" s="43"/>
      <c r="G115" s="45"/>
      <c r="H115" s="45" t="s">
        <v>45</v>
      </c>
      <c r="I115" s="45" t="s">
        <v>45</v>
      </c>
      <c r="J115" s="45" t="s">
        <v>45</v>
      </c>
      <c r="K115" s="45" t="s">
        <v>149</v>
      </c>
      <c r="P115" s="42" t="s">
        <v>133</v>
      </c>
      <c r="Q115" s="40" t="s">
        <v>162</v>
      </c>
      <c r="R115" s="40">
        <v>3</v>
      </c>
      <c r="S115" s="40" t="s">
        <v>43</v>
      </c>
      <c r="U115" s="41"/>
    </row>
    <row r="116" spans="1:21" s="40" customFormat="1" x14ac:dyDescent="0.25">
      <c r="A116" s="42" t="s">
        <v>181</v>
      </c>
      <c r="B116" s="36" t="s">
        <v>140</v>
      </c>
      <c r="C116" s="37" t="s">
        <v>145</v>
      </c>
      <c r="D116" s="38">
        <v>3</v>
      </c>
      <c r="E116" s="37"/>
      <c r="F116" s="37"/>
      <c r="G116" s="39"/>
      <c r="H116" s="39" t="s">
        <v>45</v>
      </c>
      <c r="I116" s="39" t="s">
        <v>45</v>
      </c>
      <c r="J116" s="39" t="s">
        <v>45</v>
      </c>
      <c r="K116" s="39" t="s">
        <v>149</v>
      </c>
      <c r="P116" s="36" t="s">
        <v>133</v>
      </c>
      <c r="Q116" s="40" t="s">
        <v>163</v>
      </c>
      <c r="R116" s="40">
        <v>4</v>
      </c>
      <c r="S116" s="40" t="s">
        <v>40</v>
      </c>
      <c r="U116" s="41"/>
    </row>
    <row r="117" spans="1:21" s="40" customFormat="1" x14ac:dyDescent="0.25">
      <c r="A117" s="42" t="s">
        <v>181</v>
      </c>
      <c r="B117" s="42" t="s">
        <v>141</v>
      </c>
      <c r="C117" s="43" t="s">
        <v>144</v>
      </c>
      <c r="D117" s="44">
        <v>3</v>
      </c>
      <c r="E117" s="43"/>
      <c r="F117" s="43"/>
      <c r="G117" s="45"/>
      <c r="H117" s="45" t="s">
        <v>45</v>
      </c>
      <c r="I117" s="45" t="s">
        <v>45</v>
      </c>
      <c r="J117" s="45" t="s">
        <v>45</v>
      </c>
      <c r="K117" s="45" t="s">
        <v>149</v>
      </c>
      <c r="P117" s="36" t="s">
        <v>112</v>
      </c>
      <c r="Q117" s="40" t="s">
        <v>161</v>
      </c>
      <c r="R117" s="40">
        <v>2</v>
      </c>
      <c r="S117" s="40" t="s">
        <v>42</v>
      </c>
      <c r="U117" s="41"/>
    </row>
    <row r="118" spans="1:21" s="40" customFormat="1" x14ac:dyDescent="0.25">
      <c r="A118" s="42" t="s">
        <v>181</v>
      </c>
      <c r="B118" s="42" t="s">
        <v>123</v>
      </c>
      <c r="C118" s="43" t="s">
        <v>147</v>
      </c>
      <c r="D118" s="44">
        <v>3</v>
      </c>
      <c r="E118" s="43"/>
      <c r="F118" s="43"/>
      <c r="G118" s="45"/>
      <c r="H118" s="45" t="s">
        <v>45</v>
      </c>
      <c r="I118" s="45" t="s">
        <v>45</v>
      </c>
      <c r="J118" s="45" t="s">
        <v>45</v>
      </c>
      <c r="K118" s="45" t="s">
        <v>149</v>
      </c>
      <c r="P118" s="36" t="s">
        <v>112</v>
      </c>
      <c r="Q118" s="40" t="s">
        <v>162</v>
      </c>
      <c r="R118" s="40">
        <v>3</v>
      </c>
      <c r="S118" s="40" t="s">
        <v>43</v>
      </c>
      <c r="U118" s="41"/>
    </row>
    <row r="119" spans="1:21" s="40" customFormat="1" x14ac:dyDescent="0.25">
      <c r="A119" s="42" t="s">
        <v>181</v>
      </c>
      <c r="B119" s="36" t="s">
        <v>139</v>
      </c>
      <c r="C119" s="37" t="s">
        <v>146</v>
      </c>
      <c r="D119" s="38">
        <v>3</v>
      </c>
      <c r="E119" s="37"/>
      <c r="F119" s="37"/>
      <c r="G119" s="39"/>
      <c r="H119" s="39" t="s">
        <v>45</v>
      </c>
      <c r="I119" s="39" t="s">
        <v>45</v>
      </c>
      <c r="J119" s="39" t="s">
        <v>45</v>
      </c>
      <c r="K119" s="39" t="s">
        <v>149</v>
      </c>
      <c r="P119" s="36" t="s">
        <v>112</v>
      </c>
      <c r="Q119" s="40" t="s">
        <v>163</v>
      </c>
      <c r="R119" s="40">
        <v>4</v>
      </c>
      <c r="S119" s="40" t="s">
        <v>40</v>
      </c>
      <c r="U119" s="41"/>
    </row>
    <row r="120" spans="1:21" s="40" customFormat="1" x14ac:dyDescent="0.25">
      <c r="A120" s="42" t="s">
        <v>181</v>
      </c>
      <c r="B120" s="36" t="s">
        <v>170</v>
      </c>
      <c r="C120" s="37" t="s">
        <v>171</v>
      </c>
      <c r="D120" s="38">
        <v>3</v>
      </c>
      <c r="E120" s="37"/>
      <c r="F120" s="37"/>
      <c r="G120" s="39"/>
      <c r="H120" s="39"/>
      <c r="I120" s="39"/>
      <c r="J120" s="45" t="s">
        <v>45</v>
      </c>
      <c r="K120" s="45" t="s">
        <v>138</v>
      </c>
      <c r="U120" s="41"/>
    </row>
    <row r="121" spans="1:21" s="40" customFormat="1" x14ac:dyDescent="0.25">
      <c r="A121" s="42" t="s">
        <v>181</v>
      </c>
      <c r="B121" s="42" t="s">
        <v>0</v>
      </c>
      <c r="C121" s="43" t="s">
        <v>46</v>
      </c>
      <c r="D121" s="44">
        <v>3</v>
      </c>
      <c r="E121" s="43" t="s">
        <v>47</v>
      </c>
      <c r="F121" s="43" t="s">
        <v>44</v>
      </c>
      <c r="G121" s="45" t="s">
        <v>45</v>
      </c>
      <c r="H121" s="45" t="s">
        <v>45</v>
      </c>
      <c r="I121" s="45" t="s">
        <v>45</v>
      </c>
      <c r="J121" s="45" t="s">
        <v>45</v>
      </c>
      <c r="K121" s="45" t="s">
        <v>138</v>
      </c>
      <c r="U121" s="41"/>
    </row>
    <row r="122" spans="1:21" s="40" customFormat="1" x14ac:dyDescent="0.25">
      <c r="A122" s="42" t="s">
        <v>181</v>
      </c>
      <c r="B122" s="36" t="s">
        <v>1</v>
      </c>
      <c r="C122" s="37" t="s">
        <v>48</v>
      </c>
      <c r="D122" s="38">
        <v>1.5</v>
      </c>
      <c r="E122" s="37" t="s">
        <v>44</v>
      </c>
      <c r="F122" s="37" t="s">
        <v>44</v>
      </c>
      <c r="G122" s="39" t="s">
        <v>45</v>
      </c>
      <c r="H122" s="39" t="s">
        <v>44</v>
      </c>
      <c r="I122" s="39" t="s">
        <v>45</v>
      </c>
      <c r="J122" s="39" t="s">
        <v>45</v>
      </c>
      <c r="K122" s="39" t="s">
        <v>138</v>
      </c>
      <c r="U122" s="41"/>
    </row>
    <row r="123" spans="1:21" s="40" customFormat="1" x14ac:dyDescent="0.25">
      <c r="A123" s="42" t="s">
        <v>181</v>
      </c>
      <c r="B123" s="42" t="s">
        <v>2</v>
      </c>
      <c r="C123" s="43" t="s">
        <v>49</v>
      </c>
      <c r="D123" s="44">
        <v>1.5</v>
      </c>
      <c r="E123" s="43" t="s">
        <v>44</v>
      </c>
      <c r="F123" s="43" t="s">
        <v>44</v>
      </c>
      <c r="G123" s="45" t="s">
        <v>45</v>
      </c>
      <c r="H123" s="45" t="s">
        <v>44</v>
      </c>
      <c r="I123" s="45" t="s">
        <v>45</v>
      </c>
      <c r="J123" s="45" t="s">
        <v>45</v>
      </c>
      <c r="K123" s="45" t="s">
        <v>138</v>
      </c>
      <c r="U123" s="41"/>
    </row>
    <row r="124" spans="1:21" s="40" customFormat="1" x14ac:dyDescent="0.25">
      <c r="A124" s="42" t="s">
        <v>181</v>
      </c>
      <c r="B124" s="36" t="s">
        <v>3</v>
      </c>
      <c r="C124" s="37" t="s">
        <v>50</v>
      </c>
      <c r="D124" s="38">
        <v>3</v>
      </c>
      <c r="E124" s="37" t="s">
        <v>51</v>
      </c>
      <c r="F124" s="37" t="s">
        <v>52</v>
      </c>
      <c r="G124" s="39" t="s">
        <v>45</v>
      </c>
      <c r="H124" s="39" t="s">
        <v>44</v>
      </c>
      <c r="I124" s="39" t="s">
        <v>45</v>
      </c>
      <c r="J124" s="39" t="s">
        <v>45</v>
      </c>
      <c r="K124" s="39" t="s">
        <v>138</v>
      </c>
      <c r="U124" s="41"/>
    </row>
    <row r="125" spans="1:21" s="40" customFormat="1" x14ac:dyDescent="0.25">
      <c r="A125" s="42" t="s">
        <v>181</v>
      </c>
      <c r="B125" s="42" t="s">
        <v>4</v>
      </c>
      <c r="C125" s="43" t="s">
        <v>53</v>
      </c>
      <c r="D125" s="44">
        <v>3</v>
      </c>
      <c r="E125" s="43" t="s">
        <v>54</v>
      </c>
      <c r="F125" s="43" t="s">
        <v>44</v>
      </c>
      <c r="G125" s="45" t="s">
        <v>45</v>
      </c>
      <c r="H125" s="45" t="s">
        <v>45</v>
      </c>
      <c r="I125" s="45" t="s">
        <v>45</v>
      </c>
      <c r="J125" s="45" t="s">
        <v>45</v>
      </c>
      <c r="K125" s="45" t="s">
        <v>138</v>
      </c>
      <c r="U125" s="41"/>
    </row>
    <row r="126" spans="1:21" s="40" customFormat="1" x14ac:dyDescent="0.25">
      <c r="A126" s="42" t="s">
        <v>181</v>
      </c>
      <c r="B126" s="36" t="s">
        <v>9</v>
      </c>
      <c r="C126" s="37" t="s">
        <v>63</v>
      </c>
      <c r="D126" s="38">
        <v>3</v>
      </c>
      <c r="E126" s="37" t="s">
        <v>44</v>
      </c>
      <c r="F126" s="37" t="s">
        <v>44</v>
      </c>
      <c r="G126" s="39" t="s">
        <v>45</v>
      </c>
      <c r="H126" s="39" t="s">
        <v>45</v>
      </c>
      <c r="I126" s="39" t="s">
        <v>45</v>
      </c>
      <c r="J126" s="39" t="s">
        <v>45</v>
      </c>
      <c r="K126" s="39" t="s">
        <v>138</v>
      </c>
      <c r="U126" s="41"/>
    </row>
    <row r="127" spans="1:21" s="40" customFormat="1" x14ac:dyDescent="0.25">
      <c r="A127" s="42" t="s">
        <v>181</v>
      </c>
      <c r="B127" s="36" t="s">
        <v>12</v>
      </c>
      <c r="C127" s="37" t="s">
        <v>68</v>
      </c>
      <c r="D127" s="38">
        <v>3</v>
      </c>
      <c r="E127" s="37" t="s">
        <v>65</v>
      </c>
      <c r="F127" s="37" t="s">
        <v>44</v>
      </c>
      <c r="G127" s="39" t="s">
        <v>45</v>
      </c>
      <c r="H127" s="39" t="s">
        <v>45</v>
      </c>
      <c r="I127" s="39" t="s">
        <v>45</v>
      </c>
      <c r="J127" s="39" t="s">
        <v>45</v>
      </c>
      <c r="K127" s="39" t="s">
        <v>138</v>
      </c>
      <c r="U127" s="41"/>
    </row>
    <row r="128" spans="1:21" s="40" customFormat="1" x14ac:dyDescent="0.25">
      <c r="A128" s="42" t="s">
        <v>181</v>
      </c>
      <c r="B128" s="42" t="s">
        <v>13</v>
      </c>
      <c r="C128" s="43" t="s">
        <v>69</v>
      </c>
      <c r="D128" s="44">
        <v>3</v>
      </c>
      <c r="E128" s="43" t="s">
        <v>70</v>
      </c>
      <c r="F128" s="43" t="s">
        <v>44</v>
      </c>
      <c r="G128" s="45" t="s">
        <v>44</v>
      </c>
      <c r="H128" s="45" t="s">
        <v>45</v>
      </c>
      <c r="I128" s="45" t="s">
        <v>45</v>
      </c>
      <c r="J128" s="45" t="s">
        <v>45</v>
      </c>
      <c r="K128" s="45" t="s">
        <v>138</v>
      </c>
      <c r="U128" s="41"/>
    </row>
    <row r="129" spans="1:21" s="40" customFormat="1" x14ac:dyDescent="0.25">
      <c r="A129" s="42" t="s">
        <v>181</v>
      </c>
      <c r="B129" s="36" t="s">
        <v>14</v>
      </c>
      <c r="C129" s="37" t="s">
        <v>71</v>
      </c>
      <c r="D129" s="38">
        <v>3</v>
      </c>
      <c r="E129" s="37" t="s">
        <v>72</v>
      </c>
      <c r="F129" s="37" t="s">
        <v>44</v>
      </c>
      <c r="G129" s="39" t="s">
        <v>45</v>
      </c>
      <c r="H129" s="39" t="s">
        <v>45</v>
      </c>
      <c r="I129" s="39" t="s">
        <v>45</v>
      </c>
      <c r="J129" s="39" t="s">
        <v>45</v>
      </c>
      <c r="K129" s="39" t="s">
        <v>138</v>
      </c>
      <c r="U129" s="41"/>
    </row>
    <row r="130" spans="1:21" s="40" customFormat="1" x14ac:dyDescent="0.25">
      <c r="A130" s="42" t="s">
        <v>181</v>
      </c>
      <c r="B130" s="42" t="s">
        <v>137</v>
      </c>
      <c r="C130" s="43" t="s">
        <v>136</v>
      </c>
      <c r="D130" s="44">
        <v>3</v>
      </c>
      <c r="E130" s="43"/>
      <c r="F130" s="43"/>
      <c r="G130" s="45" t="s">
        <v>45</v>
      </c>
      <c r="H130" s="45" t="s">
        <v>45</v>
      </c>
      <c r="I130" s="45" t="s">
        <v>45</v>
      </c>
      <c r="J130" s="45" t="s">
        <v>45</v>
      </c>
      <c r="K130" s="45" t="s">
        <v>138</v>
      </c>
      <c r="U130" s="41"/>
    </row>
    <row r="131" spans="1:21" s="50" customFormat="1" x14ac:dyDescent="0.25">
      <c r="A131" s="46" t="s">
        <v>182</v>
      </c>
      <c r="B131" s="46" t="s">
        <v>142</v>
      </c>
      <c r="C131" s="47" t="s">
        <v>143</v>
      </c>
      <c r="D131" s="48">
        <v>3</v>
      </c>
      <c r="E131" s="47"/>
      <c r="F131" s="47"/>
      <c r="G131" s="49"/>
      <c r="H131" s="49" t="s">
        <v>45</v>
      </c>
      <c r="I131" s="49" t="s">
        <v>45</v>
      </c>
      <c r="J131" s="49" t="s">
        <v>45</v>
      </c>
      <c r="K131" s="49" t="s">
        <v>149</v>
      </c>
      <c r="P131" s="46" t="s">
        <v>133</v>
      </c>
      <c r="Q131" s="50" t="s">
        <v>161</v>
      </c>
      <c r="R131" s="50">
        <v>2</v>
      </c>
      <c r="S131" s="50" t="s">
        <v>42</v>
      </c>
      <c r="U131" s="51"/>
    </row>
    <row r="132" spans="1:21" s="50" customFormat="1" x14ac:dyDescent="0.25">
      <c r="A132" s="46" t="s">
        <v>182</v>
      </c>
      <c r="B132" s="52" t="s">
        <v>62</v>
      </c>
      <c r="C132" s="53" t="s">
        <v>148</v>
      </c>
      <c r="D132" s="54">
        <v>3</v>
      </c>
      <c r="E132" s="53"/>
      <c r="F132" s="53"/>
      <c r="G132" s="55"/>
      <c r="H132" s="55" t="s">
        <v>45</v>
      </c>
      <c r="I132" s="55" t="s">
        <v>45</v>
      </c>
      <c r="J132" s="55" t="s">
        <v>45</v>
      </c>
      <c r="K132" s="55" t="s">
        <v>149</v>
      </c>
      <c r="P132" s="52" t="s">
        <v>133</v>
      </c>
      <c r="Q132" s="50" t="s">
        <v>162</v>
      </c>
      <c r="R132" s="50">
        <v>3</v>
      </c>
      <c r="S132" s="50" t="s">
        <v>43</v>
      </c>
      <c r="U132" s="51"/>
    </row>
    <row r="133" spans="1:21" s="50" customFormat="1" x14ac:dyDescent="0.25">
      <c r="A133" s="46" t="s">
        <v>182</v>
      </c>
      <c r="B133" s="46" t="s">
        <v>140</v>
      </c>
      <c r="C133" s="47" t="s">
        <v>145</v>
      </c>
      <c r="D133" s="48">
        <v>3</v>
      </c>
      <c r="E133" s="47"/>
      <c r="F133" s="47"/>
      <c r="G133" s="49"/>
      <c r="H133" s="49" t="s">
        <v>45</v>
      </c>
      <c r="I133" s="49" t="s">
        <v>45</v>
      </c>
      <c r="J133" s="49" t="s">
        <v>45</v>
      </c>
      <c r="K133" s="49" t="s">
        <v>149</v>
      </c>
      <c r="P133" s="46" t="s">
        <v>133</v>
      </c>
      <c r="Q133" s="50" t="s">
        <v>163</v>
      </c>
      <c r="R133" s="50">
        <v>4</v>
      </c>
      <c r="S133" s="50" t="s">
        <v>40</v>
      </c>
      <c r="U133" s="51"/>
    </row>
    <row r="134" spans="1:21" s="50" customFormat="1" x14ac:dyDescent="0.25">
      <c r="A134" s="46" t="s">
        <v>182</v>
      </c>
      <c r="B134" s="52" t="s">
        <v>141</v>
      </c>
      <c r="C134" s="53" t="s">
        <v>144</v>
      </c>
      <c r="D134" s="54">
        <v>3</v>
      </c>
      <c r="E134" s="53"/>
      <c r="F134" s="53"/>
      <c r="G134" s="55"/>
      <c r="H134" s="55" t="s">
        <v>45</v>
      </c>
      <c r="I134" s="55" t="s">
        <v>45</v>
      </c>
      <c r="J134" s="55" t="s">
        <v>45</v>
      </c>
      <c r="K134" s="55" t="s">
        <v>149</v>
      </c>
      <c r="P134" s="46" t="s">
        <v>112</v>
      </c>
      <c r="Q134" s="50" t="s">
        <v>161</v>
      </c>
      <c r="R134" s="50">
        <v>2</v>
      </c>
      <c r="S134" s="50" t="s">
        <v>42</v>
      </c>
      <c r="U134" s="51"/>
    </row>
    <row r="135" spans="1:21" s="50" customFormat="1" x14ac:dyDescent="0.25">
      <c r="A135" s="46" t="s">
        <v>182</v>
      </c>
      <c r="B135" s="52" t="s">
        <v>123</v>
      </c>
      <c r="C135" s="53" t="s">
        <v>147</v>
      </c>
      <c r="D135" s="54">
        <v>3</v>
      </c>
      <c r="E135" s="53"/>
      <c r="F135" s="53"/>
      <c r="G135" s="55"/>
      <c r="H135" s="55" t="s">
        <v>45</v>
      </c>
      <c r="I135" s="55" t="s">
        <v>45</v>
      </c>
      <c r="J135" s="55" t="s">
        <v>45</v>
      </c>
      <c r="K135" s="55" t="s">
        <v>149</v>
      </c>
      <c r="P135" s="46" t="s">
        <v>112</v>
      </c>
      <c r="Q135" s="50" t="s">
        <v>162</v>
      </c>
      <c r="R135" s="50">
        <v>3</v>
      </c>
      <c r="S135" s="50" t="s">
        <v>43</v>
      </c>
      <c r="U135" s="51"/>
    </row>
    <row r="136" spans="1:21" s="50" customFormat="1" x14ac:dyDescent="0.25">
      <c r="A136" s="46" t="s">
        <v>182</v>
      </c>
      <c r="B136" s="46" t="s">
        <v>139</v>
      </c>
      <c r="C136" s="47" t="s">
        <v>146</v>
      </c>
      <c r="D136" s="48">
        <v>3</v>
      </c>
      <c r="E136" s="47"/>
      <c r="F136" s="47"/>
      <c r="G136" s="49"/>
      <c r="H136" s="49" t="s">
        <v>45</v>
      </c>
      <c r="I136" s="49" t="s">
        <v>45</v>
      </c>
      <c r="J136" s="49" t="s">
        <v>45</v>
      </c>
      <c r="K136" s="49" t="s">
        <v>149</v>
      </c>
      <c r="P136" s="46" t="s">
        <v>112</v>
      </c>
      <c r="Q136" s="50" t="s">
        <v>163</v>
      </c>
      <c r="R136" s="50">
        <v>4</v>
      </c>
      <c r="S136" s="50" t="s">
        <v>40</v>
      </c>
      <c r="U136" s="51"/>
    </row>
    <row r="137" spans="1:21" s="50" customFormat="1" x14ac:dyDescent="0.25">
      <c r="A137" s="46" t="s">
        <v>182</v>
      </c>
      <c r="B137" s="46" t="s">
        <v>170</v>
      </c>
      <c r="C137" s="47" t="s">
        <v>171</v>
      </c>
      <c r="D137" s="48">
        <v>3</v>
      </c>
      <c r="E137" s="47"/>
      <c r="F137" s="47"/>
      <c r="G137" s="49"/>
      <c r="H137" s="49"/>
      <c r="I137" s="49"/>
      <c r="J137" s="55" t="s">
        <v>45</v>
      </c>
      <c r="K137" s="55" t="s">
        <v>138</v>
      </c>
      <c r="U137" s="51"/>
    </row>
    <row r="138" spans="1:21" s="50" customFormat="1" x14ac:dyDescent="0.25">
      <c r="A138" s="46" t="s">
        <v>182</v>
      </c>
      <c r="B138" s="52" t="s">
        <v>0</v>
      </c>
      <c r="C138" s="53" t="s">
        <v>46</v>
      </c>
      <c r="D138" s="54">
        <v>3</v>
      </c>
      <c r="E138" s="53" t="s">
        <v>47</v>
      </c>
      <c r="F138" s="53" t="s">
        <v>44</v>
      </c>
      <c r="G138" s="55" t="s">
        <v>45</v>
      </c>
      <c r="H138" s="55" t="s">
        <v>45</v>
      </c>
      <c r="I138" s="55" t="s">
        <v>45</v>
      </c>
      <c r="J138" s="55" t="s">
        <v>45</v>
      </c>
      <c r="K138" s="55" t="s">
        <v>138</v>
      </c>
      <c r="U138" s="51"/>
    </row>
    <row r="139" spans="1:21" s="50" customFormat="1" x14ac:dyDescent="0.25">
      <c r="A139" s="46" t="s">
        <v>182</v>
      </c>
      <c r="B139" s="46" t="s">
        <v>1</v>
      </c>
      <c r="C139" s="47" t="s">
        <v>48</v>
      </c>
      <c r="D139" s="48">
        <v>1.5</v>
      </c>
      <c r="E139" s="47" t="s">
        <v>44</v>
      </c>
      <c r="F139" s="47" t="s">
        <v>44</v>
      </c>
      <c r="G139" s="49" t="s">
        <v>45</v>
      </c>
      <c r="H139" s="49" t="s">
        <v>44</v>
      </c>
      <c r="I139" s="49" t="s">
        <v>45</v>
      </c>
      <c r="J139" s="49" t="s">
        <v>45</v>
      </c>
      <c r="K139" s="49" t="s">
        <v>138</v>
      </c>
      <c r="U139" s="51"/>
    </row>
    <row r="140" spans="1:21" s="50" customFormat="1" x14ac:dyDescent="0.25">
      <c r="A140" s="46" t="s">
        <v>182</v>
      </c>
      <c r="B140" s="52" t="s">
        <v>2</v>
      </c>
      <c r="C140" s="53" t="s">
        <v>49</v>
      </c>
      <c r="D140" s="54">
        <v>1.5</v>
      </c>
      <c r="E140" s="53" t="s">
        <v>44</v>
      </c>
      <c r="F140" s="53" t="s">
        <v>44</v>
      </c>
      <c r="G140" s="55" t="s">
        <v>45</v>
      </c>
      <c r="H140" s="55" t="s">
        <v>44</v>
      </c>
      <c r="I140" s="55" t="s">
        <v>45</v>
      </c>
      <c r="J140" s="55" t="s">
        <v>45</v>
      </c>
      <c r="K140" s="55" t="s">
        <v>138</v>
      </c>
      <c r="U140" s="51"/>
    </row>
    <row r="141" spans="1:21" s="50" customFormat="1" x14ac:dyDescent="0.25">
      <c r="A141" s="46" t="s">
        <v>182</v>
      </c>
      <c r="B141" s="46" t="s">
        <v>3</v>
      </c>
      <c r="C141" s="47" t="s">
        <v>50</v>
      </c>
      <c r="D141" s="48">
        <v>3</v>
      </c>
      <c r="E141" s="47" t="s">
        <v>51</v>
      </c>
      <c r="F141" s="47" t="s">
        <v>52</v>
      </c>
      <c r="G141" s="49" t="s">
        <v>45</v>
      </c>
      <c r="H141" s="49" t="s">
        <v>44</v>
      </c>
      <c r="I141" s="49" t="s">
        <v>45</v>
      </c>
      <c r="J141" s="49" t="s">
        <v>45</v>
      </c>
      <c r="K141" s="49" t="s">
        <v>138</v>
      </c>
      <c r="U141" s="51"/>
    </row>
    <row r="142" spans="1:21" s="50" customFormat="1" x14ac:dyDescent="0.25">
      <c r="A142" s="46" t="s">
        <v>182</v>
      </c>
      <c r="B142" s="52" t="s">
        <v>4</v>
      </c>
      <c r="C142" s="53" t="s">
        <v>53</v>
      </c>
      <c r="D142" s="54">
        <v>3</v>
      </c>
      <c r="E142" s="53" t="s">
        <v>54</v>
      </c>
      <c r="F142" s="53" t="s">
        <v>44</v>
      </c>
      <c r="G142" s="55" t="s">
        <v>45</v>
      </c>
      <c r="H142" s="55" t="s">
        <v>45</v>
      </c>
      <c r="I142" s="55" t="s">
        <v>45</v>
      </c>
      <c r="J142" s="55" t="s">
        <v>45</v>
      </c>
      <c r="K142" s="55" t="s">
        <v>138</v>
      </c>
      <c r="U142" s="51"/>
    </row>
    <row r="143" spans="1:21" s="50" customFormat="1" x14ac:dyDescent="0.25">
      <c r="A143" s="46" t="s">
        <v>182</v>
      </c>
      <c r="B143" s="46" t="s">
        <v>9</v>
      </c>
      <c r="C143" s="47" t="s">
        <v>63</v>
      </c>
      <c r="D143" s="48">
        <v>3</v>
      </c>
      <c r="E143" s="47" t="s">
        <v>44</v>
      </c>
      <c r="F143" s="47" t="s">
        <v>44</v>
      </c>
      <c r="G143" s="49" t="s">
        <v>45</v>
      </c>
      <c r="H143" s="49" t="s">
        <v>45</v>
      </c>
      <c r="I143" s="49" t="s">
        <v>45</v>
      </c>
      <c r="J143" s="49" t="s">
        <v>45</v>
      </c>
      <c r="K143" s="49" t="s">
        <v>138</v>
      </c>
      <c r="U143" s="51"/>
    </row>
    <row r="144" spans="1:21" s="50" customFormat="1" x14ac:dyDescent="0.25">
      <c r="A144" s="46" t="s">
        <v>182</v>
      </c>
      <c r="B144" s="46" t="s">
        <v>12</v>
      </c>
      <c r="C144" s="47" t="s">
        <v>68</v>
      </c>
      <c r="D144" s="48">
        <v>3</v>
      </c>
      <c r="E144" s="47" t="s">
        <v>65</v>
      </c>
      <c r="F144" s="47" t="s">
        <v>44</v>
      </c>
      <c r="G144" s="49" t="s">
        <v>45</v>
      </c>
      <c r="H144" s="49" t="s">
        <v>45</v>
      </c>
      <c r="I144" s="49" t="s">
        <v>45</v>
      </c>
      <c r="J144" s="49" t="s">
        <v>45</v>
      </c>
      <c r="K144" s="49" t="s">
        <v>138</v>
      </c>
      <c r="U144" s="51"/>
    </row>
    <row r="145" spans="1:21" s="50" customFormat="1" x14ac:dyDescent="0.25">
      <c r="A145" s="46" t="s">
        <v>182</v>
      </c>
      <c r="B145" s="52" t="s">
        <v>13</v>
      </c>
      <c r="C145" s="53" t="s">
        <v>69</v>
      </c>
      <c r="D145" s="48">
        <v>3</v>
      </c>
      <c r="E145" s="53" t="s">
        <v>70</v>
      </c>
      <c r="F145" s="53" t="s">
        <v>44</v>
      </c>
      <c r="G145" s="55" t="s">
        <v>44</v>
      </c>
      <c r="H145" s="55" t="s">
        <v>45</v>
      </c>
      <c r="I145" s="55" t="s">
        <v>45</v>
      </c>
      <c r="J145" s="55" t="s">
        <v>45</v>
      </c>
      <c r="K145" s="55" t="s">
        <v>138</v>
      </c>
      <c r="U145" s="51"/>
    </row>
    <row r="146" spans="1:21" s="50" customFormat="1" x14ac:dyDescent="0.25">
      <c r="A146" s="46" t="s">
        <v>182</v>
      </c>
      <c r="B146" s="46" t="s">
        <v>14</v>
      </c>
      <c r="C146" s="47" t="s">
        <v>71</v>
      </c>
      <c r="D146" s="48">
        <v>3</v>
      </c>
      <c r="E146" s="47" t="s">
        <v>72</v>
      </c>
      <c r="F146" s="47" t="s">
        <v>44</v>
      </c>
      <c r="G146" s="49" t="s">
        <v>45</v>
      </c>
      <c r="H146" s="49" t="s">
        <v>45</v>
      </c>
      <c r="I146" s="49" t="s">
        <v>45</v>
      </c>
      <c r="J146" s="49" t="s">
        <v>45</v>
      </c>
      <c r="K146" s="49" t="s">
        <v>138</v>
      </c>
      <c r="U146" s="51"/>
    </row>
    <row r="147" spans="1:21" s="50" customFormat="1" x14ac:dyDescent="0.25">
      <c r="A147" s="46" t="s">
        <v>182</v>
      </c>
      <c r="B147" s="52" t="s">
        <v>137</v>
      </c>
      <c r="C147" s="53" t="s">
        <v>136</v>
      </c>
      <c r="D147" s="48">
        <v>3</v>
      </c>
      <c r="E147" s="53"/>
      <c r="F147" s="53"/>
      <c r="G147" s="55" t="s">
        <v>45</v>
      </c>
      <c r="H147" s="55" t="s">
        <v>45</v>
      </c>
      <c r="I147" s="55" t="s">
        <v>45</v>
      </c>
      <c r="J147" s="55" t="s">
        <v>45</v>
      </c>
      <c r="K147" s="55" t="s">
        <v>138</v>
      </c>
      <c r="U147" s="51"/>
    </row>
    <row r="148" spans="1:21" s="60" customFormat="1" x14ac:dyDescent="0.25">
      <c r="A148" s="56" t="s">
        <v>180</v>
      </c>
      <c r="B148" s="56" t="s">
        <v>183</v>
      </c>
      <c r="C148" t="str">
        <f>VLOOKUP(LEFT($B148,8),[1]!Table24[#Data],2,FALSE)</f>
        <v>Introduction to Flight and Aerospace Systems</v>
      </c>
      <c r="D148" s="48">
        <f>VLOOKUP(LEFT($B148,8),[1]!Table24[#Data],3,FALSE)</f>
        <v>4</v>
      </c>
      <c r="E148" t="str">
        <f>IF(VLOOKUP(LEFT($B148,8),[1]!Table24[#Data],4,FALSE)=0,"",VLOOKUP(LEFT($B148,8),[1]!Table24[#Data],4,FALSE))</f>
        <v>ENGR 213</v>
      </c>
      <c r="F148" t="str">
        <f>IF(VLOOKUP(LEFT($B148,8),[1]!Table24[#Data],5,FALSE)=0,"",VLOOKUP(LEFT($B148,8),[1]!Table24[#Data],5,FALSE))</f>
        <v/>
      </c>
      <c r="G148" s="23" t="str">
        <f>IF(VLOOKUP(LEFT($B148,8),[1]!Table24[#Data],6,FALSE)=0,"",VLOOKUP(LEFT($B148,8),[1]!Table24[#Data],6,FALSE))</f>
        <v/>
      </c>
      <c r="H148" s="23" t="str">
        <f>IF(VLOOKUP(LEFT($B148,8),[1]!Table24[#Data],7,FALSE)=0,"",VLOOKUP(LEFT($B148,8),[1]!Table24[#Data],7,FALSE))</f>
        <v/>
      </c>
      <c r="I148" s="23" t="str">
        <f>IF(VLOOKUP(LEFT($B148,8),[1]!Table24[#Data],8,FALSE)=0,"",VLOOKUP(LEFT($B148,8),[1]!Table24[#Data],8,FALSE))</f>
        <v>X</v>
      </c>
      <c r="J148" s="23" t="str">
        <f>IF(VLOOKUP(LEFT($B148,8),[1]!Table24[#Data],9,FALSE)=0,"",VLOOKUP(LEFT($B148,8),[1]!Table24[#Data],9,FALSE))</f>
        <v>X</v>
      </c>
      <c r="K148" s="55" t="s">
        <v>138</v>
      </c>
      <c r="P148" s="56" t="s">
        <v>133</v>
      </c>
      <c r="Q148" s="60" t="s">
        <v>161</v>
      </c>
      <c r="R148" s="60">
        <v>2</v>
      </c>
      <c r="S148" s="60" t="s">
        <v>42</v>
      </c>
      <c r="U148" s="61"/>
    </row>
    <row r="149" spans="1:21" x14ac:dyDescent="0.25">
      <c r="A149" s="56" t="s">
        <v>180</v>
      </c>
      <c r="B149" t="s">
        <v>184</v>
      </c>
      <c r="C149" t="str">
        <f>VLOOKUP(LEFT($B149,8),[1]!Table24[#Data],2,FALSE)</f>
        <v>Introduction to Aircraft Design</v>
      </c>
      <c r="D149" s="48">
        <f>VLOOKUP(LEFT($B149,8),[1]!Table24[#Data],3,FALSE)</f>
        <v>3</v>
      </c>
      <c r="E149" t="str">
        <f>IF(VLOOKUP(LEFT($B149,8),[1]!Table24[#Data],4,FALSE)=0,"",VLOOKUP(LEFT($B149,8),[1]!Table24[#Data],4,FALSE))</f>
        <v>AERO 201</v>
      </c>
      <c r="F149" t="str">
        <f>IF(VLOOKUP(LEFT($B149,8),[1]!Table24[#Data],5,FALSE)=0,"",VLOOKUP(LEFT($B149,8),[1]!Table24[#Data],5,FALSE))</f>
        <v>ENCS 282</v>
      </c>
      <c r="G149" s="23" t="str">
        <f>IF(VLOOKUP(LEFT($B149,8),[1]!Table24[#Data],6,FALSE)=0,"",VLOOKUP(LEFT($B149,8),[1]!Table24[#Data],6,FALSE))</f>
        <v/>
      </c>
      <c r="H149" s="23" t="str">
        <f>IF(VLOOKUP(LEFT($B149,8),[1]!Table24[#Data],7,FALSE)=0,"",VLOOKUP(LEFT($B149,8),[1]!Table24[#Data],7,FALSE))</f>
        <v/>
      </c>
      <c r="I149" s="23" t="str">
        <f>IF(VLOOKUP(LEFT($B149,8),[1]!Table24[#Data],8,FALSE)=0,"",VLOOKUP(LEFT($B149,8),[1]!Table24[#Data],8,FALSE))</f>
        <v>X</v>
      </c>
      <c r="J149" s="23" t="str">
        <f>IF(VLOOKUP(LEFT($B149,8),[1]!Table24[#Data],9,FALSE)=0,"",VLOOKUP(LEFT($B149,8),[1]!Table24[#Data],9,FALSE))</f>
        <v>X</v>
      </c>
      <c r="K149" s="55" t="s">
        <v>138</v>
      </c>
    </row>
    <row r="150" spans="1:21" x14ac:dyDescent="0.25">
      <c r="A150" s="56" t="s">
        <v>180</v>
      </c>
      <c r="B150" t="s">
        <v>185</v>
      </c>
      <c r="C150" t="str">
        <f>VLOOKUP(LEFT($B150,8),[1]!Table24[#Data],2,FALSE)</f>
        <v>Modelling and Control Systems</v>
      </c>
      <c r="D150" s="48">
        <f>VLOOKUP(LEFT($B150,8),[1]!Table24[#Data],3,FALSE)</f>
        <v>3.5</v>
      </c>
      <c r="E150" t="str">
        <f>IF(VLOOKUP(LEFT($B150,8),[1]!Table24[#Data],4,FALSE)=0,"",VLOOKUP(LEFT($B150,8),[1]!Table24[#Data],4,FALSE))</f>
        <v>PHYS 205; ENGR 213, ENGR 243</v>
      </c>
      <c r="F150" t="str">
        <f>IF(VLOOKUP(LEFT($B150,8),[1]!Table24[#Data],5,FALSE)=0,"",VLOOKUP(LEFT($B150,8),[1]!Table24[#Data],5,FALSE))</f>
        <v>ENGR 311 or ELEC 342 or ELEC 364</v>
      </c>
      <c r="G150" s="23" t="str">
        <f>IF(VLOOKUP(LEFT($B150,8),[1]!Table24[#Data],6,FALSE)=0,"",VLOOKUP(LEFT($B150,8),[1]!Table24[#Data],6,FALSE))</f>
        <v/>
      </c>
      <c r="H150" s="23" t="str">
        <f>IF(VLOOKUP(LEFT($B150,8),[1]!Table24[#Data],7,FALSE)=0,"",VLOOKUP(LEFT($B150,8),[1]!Table24[#Data],7,FALSE))</f>
        <v/>
      </c>
      <c r="I150" s="23" t="str">
        <f>IF(VLOOKUP(LEFT($B150,8),[1]!Table24[#Data],8,FALSE)=0,"",VLOOKUP(LEFT($B150,8),[1]!Table24[#Data],8,FALSE))</f>
        <v>X</v>
      </c>
      <c r="J150" s="23" t="str">
        <f>IF(VLOOKUP(LEFT($B150,8),[1]!Table24[#Data],9,FALSE)=0,"",VLOOKUP(LEFT($B150,8),[1]!Table24[#Data],9,FALSE))</f>
        <v>X</v>
      </c>
      <c r="K150" s="55" t="s">
        <v>138</v>
      </c>
    </row>
    <row r="151" spans="1:21" x14ac:dyDescent="0.25">
      <c r="A151" s="56" t="s">
        <v>180</v>
      </c>
      <c r="B151" t="s">
        <v>186</v>
      </c>
      <c r="C151" t="str">
        <f>VLOOKUP(LEFT($B151,8),[1]!Table24[#Data],2,FALSE)</f>
        <v>Aerospace Engineering Design Project</v>
      </c>
      <c r="D151" s="48">
        <f>VLOOKUP(LEFT($B151,8),[1]!Table24[#Data],3,FALSE)</f>
        <v>3</v>
      </c>
      <c r="E151" t="str">
        <f>IF(VLOOKUP(LEFT($B151,8),[1]!Table24[#Data],4,FALSE)=0,"",VLOOKUP(LEFT($B151,8),[1]!Table24[#Data],4,FALSE))</f>
        <v>AERO 290, AERO 371; ENCS 282</v>
      </c>
      <c r="F151" t="str">
        <f>IF(VLOOKUP(LEFT($B151,8),[1]!Table24[#Data],5,FALSE)=0,"",VLOOKUP(LEFT($B151,8),[1]!Table24[#Data],5,FALSE))</f>
        <v/>
      </c>
      <c r="G151" s="23" t="str">
        <f>IF(VLOOKUP(LEFT($B151,8),[1]!Table24[#Data],6,FALSE)=0,"",VLOOKUP(LEFT($B151,8),[1]!Table24[#Data],6,FALSE))</f>
        <v/>
      </c>
      <c r="H151" s="23" t="str">
        <f>IF(VLOOKUP(LEFT($B151,8),[1]!Table24[#Data],7,FALSE)=0,"",VLOOKUP(LEFT($B151,8),[1]!Table24[#Data],7,FALSE))</f>
        <v/>
      </c>
      <c r="I151" s="23" t="str">
        <f>IF(VLOOKUP(LEFT($B151,8),[1]!Table24[#Data],8,FALSE)=0,"",VLOOKUP(LEFT($B151,8),[1]!Table24[#Data],8,FALSE))</f>
        <v>X</v>
      </c>
      <c r="J151" s="23" t="str">
        <f>IF(VLOOKUP(LEFT($B151,8),[1]!Table24[#Data],9,FALSE)=0,"",VLOOKUP(LEFT($B151,8),[1]!Table24[#Data],9,FALSE))</f>
        <v>X</v>
      </c>
      <c r="K151" s="55" t="s">
        <v>138</v>
      </c>
    </row>
    <row r="152" spans="1:21" x14ac:dyDescent="0.25">
      <c r="A152" s="56" t="s">
        <v>180</v>
      </c>
      <c r="B152" t="s">
        <v>187</v>
      </c>
      <c r="C152" t="str">
        <f>VLOOKUP(LEFT($B152,8),[1]!Table24[#Data],2,FALSE)</f>
        <v>Standards, Regulations and Certification</v>
      </c>
      <c r="D152" s="48">
        <f>VLOOKUP(LEFT($B152,8),[1]!Table24[#Data],3,FALSE)</f>
        <v>3</v>
      </c>
      <c r="E152" t="str">
        <f>IF(VLOOKUP(LEFT($B152,8),[1]!Table24[#Data],4,FALSE)=0,"",VLOOKUP(LEFT($B152,8),[1]!Table24[#Data],4,FALSE))</f>
        <v>ENGR 201</v>
      </c>
      <c r="F152" t="str">
        <f>IF(VLOOKUP(LEFT($B152,8),[1]!Table24[#Data],5,FALSE)=0,"",VLOOKUP(LEFT($B152,8),[1]!Table24[#Data],5,FALSE))</f>
        <v/>
      </c>
      <c r="G152" s="23" t="str">
        <f>IF(VLOOKUP(LEFT($B152,8),[1]!Table24[#Data],6,FALSE)=0,"",VLOOKUP(LEFT($B152,8),[1]!Table24[#Data],6,FALSE))</f>
        <v>X*</v>
      </c>
      <c r="H152" s="23" t="str">
        <f>IF(VLOOKUP(LEFT($B152,8),[1]!Table24[#Data],7,FALSE)=0,"",VLOOKUP(LEFT($B152,8),[1]!Table24[#Data],7,FALSE))</f>
        <v/>
      </c>
      <c r="I152" s="23" t="str">
        <f>IF(VLOOKUP(LEFT($B152,8),[1]!Table24[#Data],8,FALSE)=0,"",VLOOKUP(LEFT($B152,8),[1]!Table24[#Data],8,FALSE))</f>
        <v>X</v>
      </c>
      <c r="J152" s="23" t="str">
        <f>IF(VLOOKUP(LEFT($B152,8),[1]!Table24[#Data],9,FALSE)=0,"",VLOOKUP(LEFT($B152,8),[1]!Table24[#Data],9,FALSE))</f>
        <v/>
      </c>
      <c r="K152" s="55" t="s">
        <v>138</v>
      </c>
    </row>
    <row r="153" spans="1:21" x14ac:dyDescent="0.25">
      <c r="A153" s="56" t="s">
        <v>180</v>
      </c>
      <c r="B153" t="s">
        <v>188</v>
      </c>
      <c r="C153" t="str">
        <f>VLOOKUP(LEFT($B153,8),[1]!Table24[#Data],2,FALSE)</f>
        <v>Capstone Aerospace Engineering Design Project</v>
      </c>
      <c r="D153" s="48">
        <v>3</v>
      </c>
      <c r="E153" t="str">
        <f>IF(VLOOKUP(LEFT($B153,8),[1]!Table24[#Data],4,FALSE)=0,"",VLOOKUP(LEFT($B153,8),[1]!Table24[#Data],4,FALSE))</f>
        <v>AERO 390; ENGR 301. Students must have completed 75 credits in the program.</v>
      </c>
      <c r="F153" t="str">
        <f>IF(VLOOKUP(LEFT($B153,8),[1]!Table24[#Data],5,FALSE)=0,"",VLOOKUP(LEFT($B153,8),[1]!Table24[#Data],5,FALSE))</f>
        <v/>
      </c>
      <c r="G153" s="23" t="str">
        <f>IF(VLOOKUP(LEFT($B153,8),[1]!Table24[#Data],6,FALSE)=0,"",VLOOKUP(LEFT($B153,8),[1]!Table24[#Data],6,FALSE))</f>
        <v/>
      </c>
      <c r="H153" s="23" t="str">
        <f>IF(VLOOKUP(LEFT($B153,8),[1]!Table24[#Data],7,FALSE)=0,"",VLOOKUP(LEFT($B153,8),[1]!Table24[#Data],7,FALSE))</f>
        <v/>
      </c>
      <c r="I153" s="23" t="str">
        <f>IF(VLOOKUP(LEFT($B153,8),[1]!Table24[#Data],8,FALSE)=0,"",VLOOKUP(LEFT($B153,8),[1]!Table24[#Data],8,FALSE))</f>
        <v>X</v>
      </c>
      <c r="J153" s="23" t="str">
        <f>IF(VLOOKUP(LEFT($B153,8),[1]!Table24[#Data],9,FALSE)=0,"",VLOOKUP(LEFT($B153,8),[1]!Table24[#Data],9,FALSE))</f>
        <v/>
      </c>
      <c r="K153" s="55" t="s">
        <v>138</v>
      </c>
    </row>
    <row r="154" spans="1:21" x14ac:dyDescent="0.25">
      <c r="A154" s="56" t="s">
        <v>180</v>
      </c>
      <c r="B154" t="s">
        <v>189</v>
      </c>
      <c r="C154" t="str">
        <f>VLOOKUP(LEFT($B154,8),[1]!Table24[#Data],2,FALSE)</f>
        <v>Capstone Aerospace Engineering Design Project</v>
      </c>
      <c r="D154" s="48">
        <v>3</v>
      </c>
      <c r="E154" t="str">
        <f>IF(VLOOKUP(LEFT($B154,8),[1]!Table24[#Data],4,FALSE)=0,"",VLOOKUP(LEFT($B154,8),[1]!Table24[#Data],4,FALSE))</f>
        <v>AERO 390; ENGR 301. Students must have completed 75 credits in the program.</v>
      </c>
      <c r="F154" t="str">
        <f>IF(VLOOKUP(LEFT($B154,8),[1]!Table24[#Data],5,FALSE)=0,"",VLOOKUP(LEFT($B154,8),[1]!Table24[#Data],5,FALSE))</f>
        <v/>
      </c>
      <c r="G154" s="23" t="str">
        <f>IF(VLOOKUP(LEFT($B154,8),[1]!Table24[#Data],6,FALSE)=0,"",VLOOKUP(LEFT($B154,8),[1]!Table24[#Data],6,FALSE))</f>
        <v/>
      </c>
      <c r="H154" s="23" t="str">
        <f>IF(VLOOKUP(LEFT($B154,8),[1]!Table24[#Data],7,FALSE)=0,"",VLOOKUP(LEFT($B154,8),[1]!Table24[#Data],7,FALSE))</f>
        <v/>
      </c>
      <c r="I154" s="23" t="str">
        <f>IF(VLOOKUP(LEFT($B154,8),[1]!Table24[#Data],8,FALSE)=0,"",VLOOKUP(LEFT($B154,8),[1]!Table24[#Data],8,FALSE))</f>
        <v>X</v>
      </c>
      <c r="J154" s="23" t="str">
        <f>IF(VLOOKUP(LEFT($B154,8),[1]!Table24[#Data],9,FALSE)=0,"",VLOOKUP(LEFT($B154,8),[1]!Table24[#Data],9,FALSE))</f>
        <v/>
      </c>
      <c r="K154" s="55" t="s">
        <v>138</v>
      </c>
    </row>
    <row r="155" spans="1:21" x14ac:dyDescent="0.25">
      <c r="A155" s="56" t="s">
        <v>180</v>
      </c>
      <c r="B155" t="s">
        <v>5</v>
      </c>
      <c r="C155" t="str">
        <f>VLOOKUP(LEFT($B155,8),[1]!Table24[#Data],2,FALSE)</f>
        <v>Statics</v>
      </c>
      <c r="D155" s="48">
        <f>VLOOKUP(LEFT($B155,8),[1]!Table24[#Data],3,FALSE)</f>
        <v>3</v>
      </c>
      <c r="E155" t="str">
        <f>IF(VLOOKUP(LEFT($B155,8),[1]!Table24[#Data],4,FALSE)=0,"",VLOOKUP(LEFT($B155,8),[1]!Table24[#Data],4,FALSE))</f>
        <v>ENGR 213</v>
      </c>
      <c r="F155" t="str">
        <f>IF(VLOOKUP(LEFT($B155,8),[1]!Table24[#Data],5,FALSE)=0,"",VLOOKUP(LEFT($B155,8),[1]!Table24[#Data],5,FALSE))</f>
        <v>PHYS 204; MATH 204</v>
      </c>
      <c r="G155" s="23" t="str">
        <f>IF(VLOOKUP(LEFT($B155,8),[1]!Table24[#Data],6,FALSE)=0,"",VLOOKUP(LEFT($B155,8),[1]!Table24[#Data],6,FALSE))</f>
        <v>X</v>
      </c>
      <c r="H155" s="23" t="str">
        <f>IF(VLOOKUP(LEFT($B155,8),[1]!Table24[#Data],7,FALSE)=0,"",VLOOKUP(LEFT($B155,8),[1]!Table24[#Data],7,FALSE))</f>
        <v/>
      </c>
      <c r="I155" s="23" t="str">
        <f>IF(VLOOKUP(LEFT($B155,8),[1]!Table24[#Data],8,FALSE)=0,"",VLOOKUP(LEFT($B155,8),[1]!Table24[#Data],8,FALSE))</f>
        <v>X</v>
      </c>
      <c r="J155" s="23" t="str">
        <f>IF(VLOOKUP(LEFT($B155,8),[1]!Table24[#Data],9,FALSE)=0,"",VLOOKUP(LEFT($B155,8),[1]!Table24[#Data],9,FALSE))</f>
        <v>X</v>
      </c>
      <c r="K155" s="55" t="s">
        <v>138</v>
      </c>
    </row>
    <row r="156" spans="1:21" x14ac:dyDescent="0.25">
      <c r="A156" s="56" t="s">
        <v>180</v>
      </c>
      <c r="B156" t="s">
        <v>6</v>
      </c>
      <c r="C156" t="str">
        <f>VLOOKUP(LEFT($B156,8),[1]!Table24[#Data],2,FALSE)</f>
        <v>Dynamics</v>
      </c>
      <c r="D156" s="48">
        <f>VLOOKUP(LEFT($B156,8),[1]!Table24[#Data],3,FALSE)</f>
        <v>3</v>
      </c>
      <c r="E156" t="str">
        <f>IF(VLOOKUP(LEFT($B156,8),[1]!Table24[#Data],4,FALSE)=0,"",VLOOKUP(LEFT($B156,8),[1]!Table24[#Data],4,FALSE))</f>
        <v>ENGR 213, ENGR 242</v>
      </c>
      <c r="F156" t="str">
        <f>IF(VLOOKUP(LEFT($B156,8),[1]!Table24[#Data],5,FALSE)=0,"",VLOOKUP(LEFT($B156,8),[1]!Table24[#Data],5,FALSE))</f>
        <v/>
      </c>
      <c r="G156" s="23" t="str">
        <f>IF(VLOOKUP(LEFT($B156,8),[1]!Table24[#Data],6,FALSE)=0,"",VLOOKUP(LEFT($B156,8),[1]!Table24[#Data],6,FALSE))</f>
        <v>X</v>
      </c>
      <c r="H156" s="23" t="str">
        <f>IF(VLOOKUP(LEFT($B156,8),[1]!Table24[#Data],7,FALSE)=0,"",VLOOKUP(LEFT($B156,8),[1]!Table24[#Data],7,FALSE))</f>
        <v/>
      </c>
      <c r="I156" s="23" t="str">
        <f>IF(VLOOKUP(LEFT($B156,8),[1]!Table24[#Data],8,FALSE)=0,"",VLOOKUP(LEFT($B156,8),[1]!Table24[#Data],8,FALSE))</f>
        <v>X</v>
      </c>
      <c r="J156" s="23" t="str">
        <f>IF(VLOOKUP(LEFT($B156,8),[1]!Table24[#Data],9,FALSE)=0,"",VLOOKUP(LEFT($B156,8),[1]!Table24[#Data],9,FALSE))</f>
        <v>X</v>
      </c>
      <c r="K156" s="55" t="s">
        <v>138</v>
      </c>
    </row>
    <row r="157" spans="1:21" x14ac:dyDescent="0.25">
      <c r="A157" s="56" t="s">
        <v>180</v>
      </c>
      <c r="B157" t="s">
        <v>7</v>
      </c>
      <c r="C157" t="str">
        <f>VLOOKUP(LEFT($B157,8),[1]!Table24[#Data],2,FALSE)</f>
        <v>Mechanics of Materials</v>
      </c>
      <c r="D157" s="48">
        <f>VLOOKUP(LEFT($B157,8),[1]!Table24[#Data],3,FALSE)</f>
        <v>3.75</v>
      </c>
      <c r="E157" t="str">
        <f>IF(VLOOKUP(LEFT($B157,8),[1]!Table24[#Data],4,FALSE)=0,"",VLOOKUP(LEFT($B157,8),[1]!Table24[#Data],4,FALSE))</f>
        <v>ENGR 213; ENGR 242 or ENGR 245</v>
      </c>
      <c r="F157" t="str">
        <f>IF(VLOOKUP(LEFT($B157,8),[1]!Table24[#Data],5,FALSE)=0,"",VLOOKUP(LEFT($B157,8),[1]!Table24[#Data],5,FALSE))</f>
        <v>ENGR 233</v>
      </c>
      <c r="G157" s="23" t="str">
        <f>IF(VLOOKUP(LEFT($B157,8),[1]!Table24[#Data],6,FALSE)=0,"",VLOOKUP(LEFT($B157,8),[1]!Table24[#Data],6,FALSE))</f>
        <v>X</v>
      </c>
      <c r="H157" s="23" t="str">
        <f>IF(VLOOKUP(LEFT($B157,8),[1]!Table24[#Data],7,FALSE)=0,"",VLOOKUP(LEFT($B157,8),[1]!Table24[#Data],7,FALSE))</f>
        <v/>
      </c>
      <c r="I157" s="23" t="str">
        <f>IF(VLOOKUP(LEFT($B157,8),[1]!Table24[#Data],8,FALSE)=0,"",VLOOKUP(LEFT($B157,8),[1]!Table24[#Data],8,FALSE))</f>
        <v>X</v>
      </c>
      <c r="J157" s="23" t="str">
        <f>IF(VLOOKUP(LEFT($B157,8),[1]!Table24[#Data],9,FALSE)=0,"",VLOOKUP(LEFT($B157,8),[1]!Table24[#Data],9,FALSE))</f>
        <v>X</v>
      </c>
      <c r="K157" s="55" t="s">
        <v>138</v>
      </c>
    </row>
    <row r="158" spans="1:21" x14ac:dyDescent="0.25">
      <c r="A158" s="56" t="s">
        <v>180</v>
      </c>
      <c r="B158" t="s">
        <v>8</v>
      </c>
      <c r="C158" t="str">
        <f>VLOOKUP(LEFT($B158,8),[1]!Table24[#Data],2,FALSE)</f>
        <v>Thermodynamics I</v>
      </c>
      <c r="D158" s="48">
        <f>VLOOKUP(LEFT($B158,8),[1]!Table24[#Data],3,FALSE)</f>
        <v>3</v>
      </c>
      <c r="E158" t="str">
        <f>IF(VLOOKUP(LEFT($B158,8),[1]!Table24[#Data],4,FALSE)=0,"",VLOOKUP(LEFT($B158,8),[1]!Table24[#Data],4,FALSE))</f>
        <v>MATH 203</v>
      </c>
      <c r="F158" t="str">
        <f>IF(VLOOKUP(LEFT($B158,8),[1]!Table24[#Data],5,FALSE)=0,"",VLOOKUP(LEFT($B158,8),[1]!Table24[#Data],5,FALSE))</f>
        <v/>
      </c>
      <c r="G158" s="23" t="str">
        <f>IF(VLOOKUP(LEFT($B158,8),[1]!Table24[#Data],6,FALSE)=0,"",VLOOKUP(LEFT($B158,8),[1]!Table24[#Data],6,FALSE))</f>
        <v>X</v>
      </c>
      <c r="H158" s="23" t="str">
        <f>IF(VLOOKUP(LEFT($B158,8),[1]!Table24[#Data],7,FALSE)=0,"",VLOOKUP(LEFT($B158,8),[1]!Table24[#Data],7,FALSE))</f>
        <v>X</v>
      </c>
      <c r="I158" s="23" t="str">
        <f>IF(VLOOKUP(LEFT($B158,8),[1]!Table24[#Data],8,FALSE)=0,"",VLOOKUP(LEFT($B158,8),[1]!Table24[#Data],8,FALSE))</f>
        <v>X</v>
      </c>
      <c r="J158" s="23" t="str">
        <f>IF(VLOOKUP(LEFT($B158,8),[1]!Table24[#Data],9,FALSE)=0,"",VLOOKUP(LEFT($B158,8),[1]!Table24[#Data],9,FALSE))</f>
        <v>X</v>
      </c>
      <c r="K158" s="55" t="s">
        <v>138</v>
      </c>
    </row>
    <row r="159" spans="1:21" x14ac:dyDescent="0.25">
      <c r="A159" s="56" t="s">
        <v>180</v>
      </c>
      <c r="B159" t="s">
        <v>11</v>
      </c>
      <c r="C159" t="str">
        <f>VLOOKUP(LEFT($B159,8),[1]!Table24[#Data],2,FALSE)</f>
        <v>Fluid Mechanics I</v>
      </c>
      <c r="D159" s="48">
        <f>VLOOKUP(LEFT($B159,8),[1]!Table24[#Data],3,FALSE)</f>
        <v>3</v>
      </c>
      <c r="E159" t="str">
        <f>IF(VLOOKUP(LEFT($B159,8),[1]!Table24[#Data],4,FALSE)=0,"",VLOOKUP(LEFT($B159,8),[1]!Table24[#Data],4,FALSE))</f>
        <v>ENGR 213, ENGR 233, ENGR 251 or AERO 253</v>
      </c>
      <c r="F159" t="str">
        <f>IF(VLOOKUP(LEFT($B159,8),[1]!Table24[#Data],5,FALSE)=0,"",VLOOKUP(LEFT($B159,8),[1]!Table24[#Data],5,FALSE))</f>
        <v/>
      </c>
      <c r="G159" s="23" t="str">
        <f>IF(VLOOKUP(LEFT($B159,8),[1]!Table24[#Data],6,FALSE)=0,"",VLOOKUP(LEFT($B159,8),[1]!Table24[#Data],6,FALSE))</f>
        <v>X</v>
      </c>
      <c r="H159" s="23" t="str">
        <f>IF(VLOOKUP(LEFT($B159,8),[1]!Table24[#Data],7,FALSE)=0,"",VLOOKUP(LEFT($B159,8),[1]!Table24[#Data],7,FALSE))</f>
        <v/>
      </c>
      <c r="I159" s="23" t="str">
        <f>IF(VLOOKUP(LEFT($B159,8),[1]!Table24[#Data],8,FALSE)=0,"",VLOOKUP(LEFT($B159,8),[1]!Table24[#Data],8,FALSE))</f>
        <v>X</v>
      </c>
      <c r="J159" s="23" t="str">
        <f>IF(VLOOKUP(LEFT($B159,8),[1]!Table24[#Data],9,FALSE)=0,"",VLOOKUP(LEFT($B159,8),[1]!Table24[#Data],9,FALSE))</f>
        <v>X</v>
      </c>
      <c r="K159" s="55" t="s">
        <v>138</v>
      </c>
    </row>
    <row r="160" spans="1:21" x14ac:dyDescent="0.25">
      <c r="A160" s="42" t="s">
        <v>181</v>
      </c>
      <c r="B160" t="s">
        <v>184</v>
      </c>
      <c r="C160" t="str">
        <f>VLOOKUP(LEFT($B160,8),[1]!Table24[#Data],2,FALSE)</f>
        <v>Introduction to Aircraft Design</v>
      </c>
      <c r="D160" s="48">
        <f>VLOOKUP(LEFT($B160,8),[1]!Table24[#Data],3,FALSE)</f>
        <v>3</v>
      </c>
      <c r="E160" t="str">
        <f>IF(VLOOKUP(LEFT($B160,8),[1]!Table24[#Data],4,FALSE)=0,"",VLOOKUP(LEFT($B160,8),[1]!Table24[#Data],4,FALSE))</f>
        <v>AERO 201</v>
      </c>
      <c r="F160" t="str">
        <f>IF(VLOOKUP(LEFT($B160,8),[1]!Table24[#Data],5,FALSE)=0,"",VLOOKUP(LEFT($B160,8),[1]!Table24[#Data],5,FALSE))</f>
        <v>ENCS 282</v>
      </c>
      <c r="G160" s="23" t="str">
        <f>IF(VLOOKUP(LEFT($B160,8),[1]!Table24[#Data],6,FALSE)=0,"",VLOOKUP(LEFT($B160,8),[1]!Table24[#Data],6,FALSE))</f>
        <v/>
      </c>
      <c r="H160" s="23" t="str">
        <f>IF(VLOOKUP(LEFT($B160,8),[1]!Table24[#Data],7,FALSE)=0,"",VLOOKUP(LEFT($B160,8),[1]!Table24[#Data],7,FALSE))</f>
        <v/>
      </c>
      <c r="I160" s="23" t="str">
        <f>IF(VLOOKUP(LEFT($B160,8),[1]!Table24[#Data],8,FALSE)=0,"",VLOOKUP(LEFT($B160,8),[1]!Table24[#Data],8,FALSE))</f>
        <v>X</v>
      </c>
      <c r="J160" s="23" t="str">
        <f>IF(VLOOKUP(LEFT($B160,8),[1]!Table24[#Data],9,FALSE)=0,"",VLOOKUP(LEFT($B160,8),[1]!Table24[#Data],9,FALSE))</f>
        <v>X</v>
      </c>
      <c r="K160" s="55" t="s">
        <v>138</v>
      </c>
    </row>
    <row r="161" spans="1:11" x14ac:dyDescent="0.25">
      <c r="A161" s="42" t="s">
        <v>181</v>
      </c>
      <c r="B161" t="s">
        <v>185</v>
      </c>
      <c r="C161" t="str">
        <f>VLOOKUP(LEFT($B161,8),[1]!Table24[#Data],2,FALSE)</f>
        <v>Modelling and Control Systems</v>
      </c>
      <c r="D161" s="48">
        <f>VLOOKUP(LEFT($B161,8),[1]!Table24[#Data],3,FALSE)</f>
        <v>3.5</v>
      </c>
      <c r="E161" t="str">
        <f>IF(VLOOKUP(LEFT($B161,8),[1]!Table24[#Data],4,FALSE)=0,"",VLOOKUP(LEFT($B161,8),[1]!Table24[#Data],4,FALSE))</f>
        <v>PHYS 205; ENGR 213, ENGR 243</v>
      </c>
      <c r="F161" t="str">
        <f>IF(VLOOKUP(LEFT($B161,8),[1]!Table24[#Data],5,FALSE)=0,"",VLOOKUP(LEFT($B161,8),[1]!Table24[#Data],5,FALSE))</f>
        <v>ENGR 311 or ELEC 342 or ELEC 364</v>
      </c>
      <c r="G161" s="23" t="str">
        <f>IF(VLOOKUP(LEFT($B161,8),[1]!Table24[#Data],6,FALSE)=0,"",VLOOKUP(LEFT($B161,8),[1]!Table24[#Data],6,FALSE))</f>
        <v/>
      </c>
      <c r="H161" s="23" t="str">
        <f>IF(VLOOKUP(LEFT($B161,8),[1]!Table24[#Data],7,FALSE)=0,"",VLOOKUP(LEFT($B161,8),[1]!Table24[#Data],7,FALSE))</f>
        <v/>
      </c>
      <c r="I161" s="23" t="str">
        <f>IF(VLOOKUP(LEFT($B161,8),[1]!Table24[#Data],8,FALSE)=0,"",VLOOKUP(LEFT($B161,8),[1]!Table24[#Data],8,FALSE))</f>
        <v>X</v>
      </c>
      <c r="J161" s="23" t="str">
        <f>IF(VLOOKUP(LEFT($B161,8),[1]!Table24[#Data],9,FALSE)=0,"",VLOOKUP(LEFT($B161,8),[1]!Table24[#Data],9,FALSE))</f>
        <v>X</v>
      </c>
      <c r="K161" s="55" t="s">
        <v>138</v>
      </c>
    </row>
    <row r="162" spans="1:11" x14ac:dyDescent="0.25">
      <c r="A162" s="42" t="s">
        <v>181</v>
      </c>
      <c r="B162" t="s">
        <v>186</v>
      </c>
      <c r="C162" t="str">
        <f>VLOOKUP(LEFT($B162,8),[1]!Table24[#Data],2,FALSE)</f>
        <v>Aerospace Engineering Design Project</v>
      </c>
      <c r="D162" s="48">
        <f>VLOOKUP(LEFT($B162,8),[1]!Table24[#Data],3,FALSE)</f>
        <v>3</v>
      </c>
      <c r="E162" t="str">
        <f>IF(VLOOKUP(LEFT($B162,8),[1]!Table24[#Data],4,FALSE)=0,"",VLOOKUP(LEFT($B162,8),[1]!Table24[#Data],4,FALSE))</f>
        <v>AERO 290, AERO 371; ENCS 282</v>
      </c>
      <c r="F162" t="str">
        <f>IF(VLOOKUP(LEFT($B162,8),[1]!Table24[#Data],5,FALSE)=0,"",VLOOKUP(LEFT($B162,8),[1]!Table24[#Data],5,FALSE))</f>
        <v/>
      </c>
      <c r="G162" s="23" t="str">
        <f>IF(VLOOKUP(LEFT($B162,8),[1]!Table24[#Data],6,FALSE)=0,"",VLOOKUP(LEFT($B162,8),[1]!Table24[#Data],6,FALSE))</f>
        <v/>
      </c>
      <c r="H162" s="23" t="str">
        <f>IF(VLOOKUP(LEFT($B162,8),[1]!Table24[#Data],7,FALSE)=0,"",VLOOKUP(LEFT($B162,8),[1]!Table24[#Data],7,FALSE))</f>
        <v/>
      </c>
      <c r="I162" s="23" t="str">
        <f>IF(VLOOKUP(LEFT($B162,8),[1]!Table24[#Data],8,FALSE)=0,"",VLOOKUP(LEFT($B162,8),[1]!Table24[#Data],8,FALSE))</f>
        <v>X</v>
      </c>
      <c r="J162" s="23" t="str">
        <f>IF(VLOOKUP(LEFT($B162,8),[1]!Table24[#Data],9,FALSE)=0,"",VLOOKUP(LEFT($B162,8),[1]!Table24[#Data],9,FALSE))</f>
        <v>X</v>
      </c>
      <c r="K162" s="55" t="s">
        <v>138</v>
      </c>
    </row>
    <row r="163" spans="1:11" x14ac:dyDescent="0.25">
      <c r="A163" s="42" t="s">
        <v>181</v>
      </c>
      <c r="B163" t="s">
        <v>187</v>
      </c>
      <c r="C163" t="str">
        <f>VLOOKUP(LEFT($B163,8),[1]!Table24[#Data],2,FALSE)</f>
        <v>Standards, Regulations and Certification</v>
      </c>
      <c r="D163" s="48">
        <f>VLOOKUP(LEFT($B163,8),[1]!Table24[#Data],3,FALSE)</f>
        <v>3</v>
      </c>
      <c r="E163" t="str">
        <f>IF(VLOOKUP(LEFT($B163,8),[1]!Table24[#Data],4,FALSE)=0,"",VLOOKUP(LEFT($B163,8),[1]!Table24[#Data],4,FALSE))</f>
        <v>ENGR 201</v>
      </c>
      <c r="F163" t="str">
        <f>IF(VLOOKUP(LEFT($B163,8),[1]!Table24[#Data],5,FALSE)=0,"",VLOOKUP(LEFT($B163,8),[1]!Table24[#Data],5,FALSE))</f>
        <v/>
      </c>
      <c r="G163" s="23" t="str">
        <f>IF(VLOOKUP(LEFT($B163,8),[1]!Table24[#Data],6,FALSE)=0,"",VLOOKUP(LEFT($B163,8),[1]!Table24[#Data],6,FALSE))</f>
        <v>X*</v>
      </c>
      <c r="H163" s="23" t="str">
        <f>IF(VLOOKUP(LEFT($B163,8),[1]!Table24[#Data],7,FALSE)=0,"",VLOOKUP(LEFT($B163,8),[1]!Table24[#Data],7,FALSE))</f>
        <v/>
      </c>
      <c r="I163" s="23" t="str">
        <f>IF(VLOOKUP(LEFT($B163,8),[1]!Table24[#Data],8,FALSE)=0,"",VLOOKUP(LEFT($B163,8),[1]!Table24[#Data],8,FALSE))</f>
        <v>X</v>
      </c>
      <c r="J163" s="23" t="str">
        <f>IF(VLOOKUP(LEFT($B163,8),[1]!Table24[#Data],9,FALSE)=0,"",VLOOKUP(LEFT($B163,8),[1]!Table24[#Data],9,FALSE))</f>
        <v/>
      </c>
      <c r="K163" s="55" t="s">
        <v>138</v>
      </c>
    </row>
    <row r="164" spans="1:11" x14ac:dyDescent="0.25">
      <c r="A164" s="42" t="s">
        <v>181</v>
      </c>
      <c r="B164" t="s">
        <v>188</v>
      </c>
      <c r="C164" t="str">
        <f>VLOOKUP(LEFT($B164,8),[1]!Table24[#Data],2,FALSE)</f>
        <v>Capstone Aerospace Engineering Design Project</v>
      </c>
      <c r="D164" s="48">
        <v>3</v>
      </c>
      <c r="E164" t="str">
        <f>IF(VLOOKUP(LEFT($B164,8),[1]!Table24[#Data],4,FALSE)=0,"",VLOOKUP(LEFT($B164,8),[1]!Table24[#Data],4,FALSE))</f>
        <v>AERO 390; ENGR 301. Students must have completed 75 credits in the program.</v>
      </c>
      <c r="F164" t="str">
        <f>IF(VLOOKUP(LEFT($B164,8),[1]!Table24[#Data],5,FALSE)=0,"",VLOOKUP(LEFT($B164,8),[1]!Table24[#Data],5,FALSE))</f>
        <v/>
      </c>
      <c r="G164" s="23" t="str">
        <f>IF(VLOOKUP(LEFT($B164,8),[1]!Table24[#Data],6,FALSE)=0,"",VLOOKUP(LEFT($B164,8),[1]!Table24[#Data],6,FALSE))</f>
        <v/>
      </c>
      <c r="H164" s="23" t="str">
        <f>IF(VLOOKUP(LEFT($B164,8),[1]!Table24[#Data],7,FALSE)=0,"",VLOOKUP(LEFT($B164,8),[1]!Table24[#Data],7,FALSE))</f>
        <v/>
      </c>
      <c r="I164" s="23" t="str">
        <f>IF(VLOOKUP(LEFT($B164,8),[1]!Table24[#Data],8,FALSE)=0,"",VLOOKUP(LEFT($B164,8),[1]!Table24[#Data],8,FALSE))</f>
        <v>X</v>
      </c>
      <c r="J164" s="23" t="str">
        <f>IF(VLOOKUP(LEFT($B164,8),[1]!Table24[#Data],9,FALSE)=0,"",VLOOKUP(LEFT($B164,8),[1]!Table24[#Data],9,FALSE))</f>
        <v/>
      </c>
      <c r="K164" s="55" t="s">
        <v>138</v>
      </c>
    </row>
    <row r="165" spans="1:11" x14ac:dyDescent="0.25">
      <c r="A165" s="42" t="s">
        <v>181</v>
      </c>
      <c r="B165" t="s">
        <v>189</v>
      </c>
      <c r="C165" t="str">
        <f>VLOOKUP(LEFT($B165,8),[1]!Table24[#Data],2,FALSE)</f>
        <v>Capstone Aerospace Engineering Design Project</v>
      </c>
      <c r="D165" s="48">
        <v>3</v>
      </c>
      <c r="E165" t="str">
        <f>IF(VLOOKUP(LEFT($B165,8),[1]!Table24[#Data],4,FALSE)=0,"",VLOOKUP(LEFT($B165,8),[1]!Table24[#Data],4,FALSE))</f>
        <v>AERO 390; ENGR 301. Students must have completed 75 credits in the program.</v>
      </c>
      <c r="F165" t="str">
        <f>IF(VLOOKUP(LEFT($B165,8),[1]!Table24[#Data],5,FALSE)=0,"",VLOOKUP(LEFT($B165,8),[1]!Table24[#Data],5,FALSE))</f>
        <v/>
      </c>
      <c r="G165" s="23" t="str">
        <f>IF(VLOOKUP(LEFT($B165,8),[1]!Table24[#Data],6,FALSE)=0,"",VLOOKUP(LEFT($B165,8),[1]!Table24[#Data],6,FALSE))</f>
        <v/>
      </c>
      <c r="H165" s="23" t="str">
        <f>IF(VLOOKUP(LEFT($B165,8),[1]!Table24[#Data],7,FALSE)=0,"",VLOOKUP(LEFT($B165,8),[1]!Table24[#Data],7,FALSE))</f>
        <v/>
      </c>
      <c r="I165" s="23" t="str">
        <f>IF(VLOOKUP(LEFT($B165,8),[1]!Table24[#Data],8,FALSE)=0,"",VLOOKUP(LEFT($B165,8),[1]!Table24[#Data],8,FALSE))</f>
        <v>X</v>
      </c>
      <c r="J165" s="23" t="str">
        <f>IF(VLOOKUP(LEFT($B165,8),[1]!Table24[#Data],9,FALSE)=0,"",VLOOKUP(LEFT($B165,8),[1]!Table24[#Data],9,FALSE))</f>
        <v/>
      </c>
      <c r="K165" s="55" t="s">
        <v>138</v>
      </c>
    </row>
    <row r="166" spans="1:11" x14ac:dyDescent="0.25">
      <c r="A166" s="42" t="s">
        <v>181</v>
      </c>
      <c r="B166" t="s">
        <v>5</v>
      </c>
      <c r="C166" t="str">
        <f>VLOOKUP(LEFT($B166,8),[1]!Table24[#Data],2,FALSE)</f>
        <v>Statics</v>
      </c>
      <c r="D166" s="48">
        <f>VLOOKUP(LEFT($B166,8),[1]!Table24[#Data],3,FALSE)</f>
        <v>3</v>
      </c>
      <c r="E166" t="str">
        <f>IF(VLOOKUP(LEFT($B166,8),[1]!Table24[#Data],4,FALSE)=0,"",VLOOKUP(LEFT($B166,8),[1]!Table24[#Data],4,FALSE))</f>
        <v>ENGR 213</v>
      </c>
      <c r="F166" t="str">
        <f>IF(VLOOKUP(LEFT($B166,8),[1]!Table24[#Data],5,FALSE)=0,"",VLOOKUP(LEFT($B166,8),[1]!Table24[#Data],5,FALSE))</f>
        <v>PHYS 204; MATH 204</v>
      </c>
      <c r="G166" s="23" t="str">
        <f>IF(VLOOKUP(LEFT($B166,8),[1]!Table24[#Data],6,FALSE)=0,"",VLOOKUP(LEFT($B166,8),[1]!Table24[#Data],6,FALSE))</f>
        <v>X</v>
      </c>
      <c r="H166" s="23" t="str">
        <f>IF(VLOOKUP(LEFT($B166,8),[1]!Table24[#Data],7,FALSE)=0,"",VLOOKUP(LEFT($B166,8),[1]!Table24[#Data],7,FALSE))</f>
        <v/>
      </c>
      <c r="I166" s="23" t="str">
        <f>IF(VLOOKUP(LEFT($B166,8),[1]!Table24[#Data],8,FALSE)=0,"",VLOOKUP(LEFT($B166,8),[1]!Table24[#Data],8,FALSE))</f>
        <v>X</v>
      </c>
      <c r="J166" s="23" t="str">
        <f>IF(VLOOKUP(LEFT($B166,8),[1]!Table24[#Data],9,FALSE)=0,"",VLOOKUP(LEFT($B166,8),[1]!Table24[#Data],9,FALSE))</f>
        <v>X</v>
      </c>
      <c r="K166" s="55" t="s">
        <v>138</v>
      </c>
    </row>
    <row r="167" spans="1:11" x14ac:dyDescent="0.25">
      <c r="A167" s="42" t="s">
        <v>181</v>
      </c>
      <c r="B167" t="s">
        <v>6</v>
      </c>
      <c r="C167" t="str">
        <f>VLOOKUP(LEFT($B167,8),[1]!Table24[#Data],2,FALSE)</f>
        <v>Dynamics</v>
      </c>
      <c r="D167" s="48">
        <f>VLOOKUP(LEFT($B167,8),[1]!Table24[#Data],3,FALSE)</f>
        <v>3</v>
      </c>
      <c r="E167" t="str">
        <f>IF(VLOOKUP(LEFT($B167,8),[1]!Table24[#Data],4,FALSE)=0,"",VLOOKUP(LEFT($B167,8),[1]!Table24[#Data],4,FALSE))</f>
        <v>ENGR 213, ENGR 242</v>
      </c>
      <c r="F167" t="str">
        <f>IF(VLOOKUP(LEFT($B167,8),[1]!Table24[#Data],5,FALSE)=0,"",VLOOKUP(LEFT($B167,8),[1]!Table24[#Data],5,FALSE))</f>
        <v/>
      </c>
      <c r="G167" s="23" t="str">
        <f>IF(VLOOKUP(LEFT($B167,8),[1]!Table24[#Data],6,FALSE)=0,"",VLOOKUP(LEFT($B167,8),[1]!Table24[#Data],6,FALSE))</f>
        <v>X</v>
      </c>
      <c r="H167" s="23" t="str">
        <f>IF(VLOOKUP(LEFT($B167,8),[1]!Table24[#Data],7,FALSE)=0,"",VLOOKUP(LEFT($B167,8),[1]!Table24[#Data],7,FALSE))</f>
        <v/>
      </c>
      <c r="I167" s="23" t="str">
        <f>IF(VLOOKUP(LEFT($B167,8),[1]!Table24[#Data],8,FALSE)=0,"",VLOOKUP(LEFT($B167,8),[1]!Table24[#Data],8,FALSE))</f>
        <v>X</v>
      </c>
      <c r="J167" s="23" t="str">
        <f>IF(VLOOKUP(LEFT($B167,8),[1]!Table24[#Data],9,FALSE)=0,"",VLOOKUP(LEFT($B167,8),[1]!Table24[#Data],9,FALSE))</f>
        <v>X</v>
      </c>
      <c r="K167" s="55" t="s">
        <v>138</v>
      </c>
    </row>
    <row r="168" spans="1:11" x14ac:dyDescent="0.25">
      <c r="A168" s="42" t="s">
        <v>181</v>
      </c>
      <c r="B168" t="s">
        <v>7</v>
      </c>
      <c r="C168" t="str">
        <f>VLOOKUP(LEFT($B168,8),[1]!Table24[#Data],2,FALSE)</f>
        <v>Mechanics of Materials</v>
      </c>
      <c r="D168" s="48">
        <f>VLOOKUP(LEFT($B168,8),[1]!Table24[#Data],3,FALSE)</f>
        <v>3.75</v>
      </c>
      <c r="E168" t="str">
        <f>IF(VLOOKUP(LEFT($B168,8),[1]!Table24[#Data],4,FALSE)=0,"",VLOOKUP(LEFT($B168,8),[1]!Table24[#Data],4,FALSE))</f>
        <v>ENGR 213; ENGR 242 or ENGR 245</v>
      </c>
      <c r="F168" t="str">
        <f>IF(VLOOKUP(LEFT($B168,8),[1]!Table24[#Data],5,FALSE)=0,"",VLOOKUP(LEFT($B168,8),[1]!Table24[#Data],5,FALSE))</f>
        <v>ENGR 233</v>
      </c>
      <c r="G168" s="23" t="str">
        <f>IF(VLOOKUP(LEFT($B168,8),[1]!Table24[#Data],6,FALSE)=0,"",VLOOKUP(LEFT($B168,8),[1]!Table24[#Data],6,FALSE))</f>
        <v>X</v>
      </c>
      <c r="H168" s="23" t="str">
        <f>IF(VLOOKUP(LEFT($B168,8),[1]!Table24[#Data],7,FALSE)=0,"",VLOOKUP(LEFT($B168,8),[1]!Table24[#Data],7,FALSE))</f>
        <v/>
      </c>
      <c r="I168" s="23" t="str">
        <f>IF(VLOOKUP(LEFT($B168,8),[1]!Table24[#Data],8,FALSE)=0,"",VLOOKUP(LEFT($B168,8),[1]!Table24[#Data],8,FALSE))</f>
        <v>X</v>
      </c>
      <c r="J168" s="23" t="str">
        <f>IF(VLOOKUP(LEFT($B168,8),[1]!Table24[#Data],9,FALSE)=0,"",VLOOKUP(LEFT($B168,8),[1]!Table24[#Data],9,FALSE))</f>
        <v>X</v>
      </c>
      <c r="K168" s="55" t="s">
        <v>138</v>
      </c>
    </row>
    <row r="169" spans="1:11" x14ac:dyDescent="0.25">
      <c r="A169" s="42" t="s">
        <v>181</v>
      </c>
      <c r="B169" t="s">
        <v>8</v>
      </c>
      <c r="C169" t="str">
        <f>VLOOKUP(LEFT($B169,8),[1]!Table24[#Data],2,FALSE)</f>
        <v>Thermodynamics I</v>
      </c>
      <c r="D169" s="48">
        <f>VLOOKUP(LEFT($B169,8),[1]!Table24[#Data],3,FALSE)</f>
        <v>3</v>
      </c>
      <c r="E169" t="str">
        <f>IF(VLOOKUP(LEFT($B169,8),[1]!Table24[#Data],4,FALSE)=0,"",VLOOKUP(LEFT($B169,8),[1]!Table24[#Data],4,FALSE))</f>
        <v>MATH 203</v>
      </c>
      <c r="F169" t="str">
        <f>IF(VLOOKUP(LEFT($B169,8),[1]!Table24[#Data],5,FALSE)=0,"",VLOOKUP(LEFT($B169,8),[1]!Table24[#Data],5,FALSE))</f>
        <v/>
      </c>
      <c r="G169" s="23" t="str">
        <f>IF(VLOOKUP(LEFT($B169,8),[1]!Table24[#Data],6,FALSE)=0,"",VLOOKUP(LEFT($B169,8),[1]!Table24[#Data],6,FALSE))</f>
        <v>X</v>
      </c>
      <c r="H169" s="23" t="str">
        <f>IF(VLOOKUP(LEFT($B169,8),[1]!Table24[#Data],7,FALSE)=0,"",VLOOKUP(LEFT($B169,8),[1]!Table24[#Data],7,FALSE))</f>
        <v>X</v>
      </c>
      <c r="I169" s="23" t="str">
        <f>IF(VLOOKUP(LEFT($B169,8),[1]!Table24[#Data],8,FALSE)=0,"",VLOOKUP(LEFT($B169,8),[1]!Table24[#Data],8,FALSE))</f>
        <v>X</v>
      </c>
      <c r="J169" s="23" t="str">
        <f>IF(VLOOKUP(LEFT($B169,8),[1]!Table24[#Data],9,FALSE)=0,"",VLOOKUP(LEFT($B169,8),[1]!Table24[#Data],9,FALSE))</f>
        <v>X</v>
      </c>
      <c r="K169" s="55" t="s">
        <v>138</v>
      </c>
    </row>
    <row r="170" spans="1:11" x14ac:dyDescent="0.25">
      <c r="A170" s="42" t="s">
        <v>181</v>
      </c>
      <c r="B170" t="s">
        <v>11</v>
      </c>
      <c r="C170" t="str">
        <f>VLOOKUP(LEFT($B170,8),[1]!Table24[#Data],2,FALSE)</f>
        <v>Fluid Mechanics I</v>
      </c>
      <c r="D170" s="48">
        <f>VLOOKUP(LEFT($B170,8),[1]!Table24[#Data],3,FALSE)</f>
        <v>3</v>
      </c>
      <c r="E170" t="str">
        <f>IF(VLOOKUP(LEFT($B170,8),[1]!Table24[#Data],4,FALSE)=0,"",VLOOKUP(LEFT($B170,8),[1]!Table24[#Data],4,FALSE))</f>
        <v>ENGR 213, ENGR 233, ENGR 251 or AERO 253</v>
      </c>
      <c r="F170" t="str">
        <f>IF(VLOOKUP(LEFT($B170,8),[1]!Table24[#Data],5,FALSE)=0,"",VLOOKUP(LEFT($B170,8),[1]!Table24[#Data],5,FALSE))</f>
        <v/>
      </c>
      <c r="G170" s="23" t="str">
        <f>IF(VLOOKUP(LEFT($B170,8),[1]!Table24[#Data],6,FALSE)=0,"",VLOOKUP(LEFT($B170,8),[1]!Table24[#Data],6,FALSE))</f>
        <v>X</v>
      </c>
      <c r="H170" s="23" t="str">
        <f>IF(VLOOKUP(LEFT($B170,8),[1]!Table24[#Data],7,FALSE)=0,"",VLOOKUP(LEFT($B170,8),[1]!Table24[#Data],7,FALSE))</f>
        <v/>
      </c>
      <c r="I170" s="23" t="str">
        <f>IF(VLOOKUP(LEFT($B170,8),[1]!Table24[#Data],8,FALSE)=0,"",VLOOKUP(LEFT($B170,8),[1]!Table24[#Data],8,FALSE))</f>
        <v>X</v>
      </c>
      <c r="J170" s="23" t="str">
        <f>IF(VLOOKUP(LEFT($B170,8),[1]!Table24[#Data],9,FALSE)=0,"",VLOOKUP(LEFT($B170,8),[1]!Table24[#Data],9,FALSE))</f>
        <v>X</v>
      </c>
      <c r="K170" s="55" t="s">
        <v>138</v>
      </c>
    </row>
    <row r="171" spans="1:11" x14ac:dyDescent="0.25">
      <c r="A171" s="46" t="s">
        <v>182</v>
      </c>
      <c r="B171" t="s">
        <v>184</v>
      </c>
      <c r="C171" t="str">
        <f>VLOOKUP(LEFT($B171,8),[1]!Table24[#Data],2,FALSE)</f>
        <v>Introduction to Aircraft Design</v>
      </c>
      <c r="D171" s="48">
        <f>VLOOKUP(LEFT($B171,8),[1]!Table24[#Data],3,FALSE)</f>
        <v>3</v>
      </c>
      <c r="E171" t="str">
        <f>IF(VLOOKUP(LEFT($B171,8),[1]!Table24[#Data],4,FALSE)=0,"",VLOOKUP(LEFT($B171,8),[1]!Table24[#Data],4,FALSE))</f>
        <v>AERO 201</v>
      </c>
      <c r="F171" t="str">
        <f>IF(VLOOKUP(LEFT($B171,8),[1]!Table24[#Data],5,FALSE)=0,"",VLOOKUP(LEFT($B171,8),[1]!Table24[#Data],5,FALSE))</f>
        <v>ENCS 282</v>
      </c>
      <c r="G171" s="23" t="str">
        <f>IF(VLOOKUP(LEFT($B171,8),[1]!Table24[#Data],6,FALSE)=0,"",VLOOKUP(LEFT($B171,8),[1]!Table24[#Data],6,FALSE))</f>
        <v/>
      </c>
      <c r="H171" s="23" t="str">
        <f>IF(VLOOKUP(LEFT($B171,8),[1]!Table24[#Data],7,FALSE)=0,"",VLOOKUP(LEFT($B171,8),[1]!Table24[#Data],7,FALSE))</f>
        <v/>
      </c>
      <c r="I171" s="23" t="str">
        <f>IF(VLOOKUP(LEFT($B171,8),[1]!Table24[#Data],8,FALSE)=0,"",VLOOKUP(LEFT($B171,8),[1]!Table24[#Data],8,FALSE))</f>
        <v>X</v>
      </c>
      <c r="J171" s="23" t="str">
        <f>IF(VLOOKUP(LEFT($B171,8),[1]!Table24[#Data],9,FALSE)=0,"",VLOOKUP(LEFT($B171,8),[1]!Table24[#Data],9,FALSE))</f>
        <v>X</v>
      </c>
      <c r="K171" s="55" t="s">
        <v>138</v>
      </c>
    </row>
    <row r="172" spans="1:11" x14ac:dyDescent="0.25">
      <c r="A172" s="46" t="s">
        <v>182</v>
      </c>
      <c r="B172" t="s">
        <v>185</v>
      </c>
      <c r="C172" t="str">
        <f>VLOOKUP(LEFT($B172,8),[1]!Table24[#Data],2,FALSE)</f>
        <v>Modelling and Control Systems</v>
      </c>
      <c r="D172" s="48">
        <f>VLOOKUP(LEFT($B172,8),[1]!Table24[#Data],3,FALSE)</f>
        <v>3.5</v>
      </c>
      <c r="E172" t="str">
        <f>IF(VLOOKUP(LEFT($B172,8),[1]!Table24[#Data],4,FALSE)=0,"",VLOOKUP(LEFT($B172,8),[1]!Table24[#Data],4,FALSE))</f>
        <v>PHYS 205; ENGR 213, ENGR 243</v>
      </c>
      <c r="F172" t="str">
        <f>IF(VLOOKUP(LEFT($B172,8),[1]!Table24[#Data],5,FALSE)=0,"",VLOOKUP(LEFT($B172,8),[1]!Table24[#Data],5,FALSE))</f>
        <v>ENGR 311 or ELEC 342 or ELEC 364</v>
      </c>
      <c r="G172" s="23" t="str">
        <f>IF(VLOOKUP(LEFT($B172,8),[1]!Table24[#Data],6,FALSE)=0,"",VLOOKUP(LEFT($B172,8),[1]!Table24[#Data],6,FALSE))</f>
        <v/>
      </c>
      <c r="H172" s="23" t="str">
        <f>IF(VLOOKUP(LEFT($B172,8),[1]!Table24[#Data],7,FALSE)=0,"",VLOOKUP(LEFT($B172,8),[1]!Table24[#Data],7,FALSE))</f>
        <v/>
      </c>
      <c r="I172" s="23" t="str">
        <f>IF(VLOOKUP(LEFT($B172,8),[1]!Table24[#Data],8,FALSE)=0,"",VLOOKUP(LEFT($B172,8),[1]!Table24[#Data],8,FALSE))</f>
        <v>X</v>
      </c>
      <c r="J172" s="23" t="str">
        <f>IF(VLOOKUP(LEFT($B172,8),[1]!Table24[#Data],9,FALSE)=0,"",VLOOKUP(LEFT($B172,8),[1]!Table24[#Data],9,FALSE))</f>
        <v>X</v>
      </c>
      <c r="K172" s="55" t="s">
        <v>138</v>
      </c>
    </row>
    <row r="173" spans="1:11" x14ac:dyDescent="0.25">
      <c r="A173" s="46" t="s">
        <v>182</v>
      </c>
      <c r="B173" t="s">
        <v>186</v>
      </c>
      <c r="C173" t="str">
        <f>VLOOKUP(LEFT($B173,8),[1]!Table24[#Data],2,FALSE)</f>
        <v>Aerospace Engineering Design Project</v>
      </c>
      <c r="D173" s="48">
        <f>VLOOKUP(LEFT($B173,8),[1]!Table24[#Data],3,FALSE)</f>
        <v>3</v>
      </c>
      <c r="E173" t="str">
        <f>IF(VLOOKUP(LEFT($B173,8),[1]!Table24[#Data],4,FALSE)=0,"",VLOOKUP(LEFT($B173,8),[1]!Table24[#Data],4,FALSE))</f>
        <v>AERO 290, AERO 371; ENCS 282</v>
      </c>
      <c r="F173" t="str">
        <f>IF(VLOOKUP(LEFT($B173,8),[1]!Table24[#Data],5,FALSE)=0,"",VLOOKUP(LEFT($B173,8),[1]!Table24[#Data],5,FALSE))</f>
        <v/>
      </c>
      <c r="G173" s="23" t="str">
        <f>IF(VLOOKUP(LEFT($B173,8),[1]!Table24[#Data],6,FALSE)=0,"",VLOOKUP(LEFT($B173,8),[1]!Table24[#Data],6,FALSE))</f>
        <v/>
      </c>
      <c r="H173" s="23" t="str">
        <f>IF(VLOOKUP(LEFT($B173,8),[1]!Table24[#Data],7,FALSE)=0,"",VLOOKUP(LEFT($B173,8),[1]!Table24[#Data],7,FALSE))</f>
        <v/>
      </c>
      <c r="I173" s="23" t="str">
        <f>IF(VLOOKUP(LEFT($B173,8),[1]!Table24[#Data],8,FALSE)=0,"",VLOOKUP(LEFT($B173,8),[1]!Table24[#Data],8,FALSE))</f>
        <v>X</v>
      </c>
      <c r="J173" s="23" t="str">
        <f>IF(VLOOKUP(LEFT($B173,8),[1]!Table24[#Data],9,FALSE)=0,"",VLOOKUP(LEFT($B173,8),[1]!Table24[#Data],9,FALSE))</f>
        <v>X</v>
      </c>
      <c r="K173" s="55" t="s">
        <v>138</v>
      </c>
    </row>
    <row r="174" spans="1:11" x14ac:dyDescent="0.25">
      <c r="A174" s="46" t="s">
        <v>182</v>
      </c>
      <c r="B174" t="s">
        <v>187</v>
      </c>
      <c r="C174" t="str">
        <f>VLOOKUP(LEFT($B174,8),[1]!Table24[#Data],2,FALSE)</f>
        <v>Standards, Regulations and Certification</v>
      </c>
      <c r="D174" s="48">
        <f>VLOOKUP(LEFT($B174,8),[1]!Table24[#Data],3,FALSE)</f>
        <v>3</v>
      </c>
      <c r="E174" t="str">
        <f>IF(VLOOKUP(LEFT($B174,8),[1]!Table24[#Data],4,FALSE)=0,"",VLOOKUP(LEFT($B174,8),[1]!Table24[#Data],4,FALSE))</f>
        <v>ENGR 201</v>
      </c>
      <c r="F174" t="str">
        <f>IF(VLOOKUP(LEFT($B174,8),[1]!Table24[#Data],5,FALSE)=0,"",VLOOKUP(LEFT($B174,8),[1]!Table24[#Data],5,FALSE))</f>
        <v/>
      </c>
      <c r="G174" s="23" t="str">
        <f>IF(VLOOKUP(LEFT($B174,8),[1]!Table24[#Data],6,FALSE)=0,"",VLOOKUP(LEFT($B174,8),[1]!Table24[#Data],6,FALSE))</f>
        <v>X*</v>
      </c>
      <c r="H174" s="23" t="str">
        <f>IF(VLOOKUP(LEFT($B174,8),[1]!Table24[#Data],7,FALSE)=0,"",VLOOKUP(LEFT($B174,8),[1]!Table24[#Data],7,FALSE))</f>
        <v/>
      </c>
      <c r="I174" s="23" t="str">
        <f>IF(VLOOKUP(LEFT($B174,8),[1]!Table24[#Data],8,FALSE)=0,"",VLOOKUP(LEFT($B174,8),[1]!Table24[#Data],8,FALSE))</f>
        <v>X</v>
      </c>
      <c r="J174" s="23" t="str">
        <f>IF(VLOOKUP(LEFT($B174,8),[1]!Table24[#Data],9,FALSE)=0,"",VLOOKUP(LEFT($B174,8),[1]!Table24[#Data],9,FALSE))</f>
        <v/>
      </c>
      <c r="K174" s="55" t="s">
        <v>138</v>
      </c>
    </row>
    <row r="175" spans="1:11" x14ac:dyDescent="0.25">
      <c r="A175" s="46" t="s">
        <v>182</v>
      </c>
      <c r="B175" t="s">
        <v>188</v>
      </c>
      <c r="C175" t="str">
        <f>VLOOKUP(LEFT($B175,8),[1]!Table24[#Data],2,FALSE)</f>
        <v>Capstone Aerospace Engineering Design Project</v>
      </c>
      <c r="D175" s="48">
        <v>3</v>
      </c>
      <c r="E175" t="str">
        <f>IF(VLOOKUP(LEFT($B175,8),[1]!Table24[#Data],4,FALSE)=0,"",VLOOKUP(LEFT($B175,8),[1]!Table24[#Data],4,FALSE))</f>
        <v>AERO 390; ENGR 301. Students must have completed 75 credits in the program.</v>
      </c>
      <c r="F175" t="str">
        <f>IF(VLOOKUP(LEFT($B175,8),[1]!Table24[#Data],5,FALSE)=0,"",VLOOKUP(LEFT($B175,8),[1]!Table24[#Data],5,FALSE))</f>
        <v/>
      </c>
      <c r="G175" s="23" t="str">
        <f>IF(VLOOKUP(LEFT($B175,8),[1]!Table24[#Data],6,FALSE)=0,"",VLOOKUP(LEFT($B175,8),[1]!Table24[#Data],6,FALSE))</f>
        <v/>
      </c>
      <c r="H175" s="23" t="str">
        <f>IF(VLOOKUP(LEFT($B175,8),[1]!Table24[#Data],7,FALSE)=0,"",VLOOKUP(LEFT($B175,8),[1]!Table24[#Data],7,FALSE))</f>
        <v/>
      </c>
      <c r="I175" s="23" t="str">
        <f>IF(VLOOKUP(LEFT($B175,8),[1]!Table24[#Data],8,FALSE)=0,"",VLOOKUP(LEFT($B175,8),[1]!Table24[#Data],8,FALSE))</f>
        <v>X</v>
      </c>
      <c r="J175" s="23" t="str">
        <f>IF(VLOOKUP(LEFT($B175,8),[1]!Table24[#Data],9,FALSE)=0,"",VLOOKUP(LEFT($B175,8),[1]!Table24[#Data],9,FALSE))</f>
        <v/>
      </c>
      <c r="K175" s="55" t="s">
        <v>138</v>
      </c>
    </row>
    <row r="176" spans="1:11" x14ac:dyDescent="0.25">
      <c r="A176" s="46" t="s">
        <v>182</v>
      </c>
      <c r="B176" t="s">
        <v>189</v>
      </c>
      <c r="C176" t="str">
        <f>VLOOKUP(LEFT($B176,8),[1]!Table24[#Data],2,FALSE)</f>
        <v>Capstone Aerospace Engineering Design Project</v>
      </c>
      <c r="D176" s="48">
        <v>3</v>
      </c>
      <c r="E176" t="str">
        <f>IF(VLOOKUP(LEFT($B176,8),[1]!Table24[#Data],4,FALSE)=0,"",VLOOKUP(LEFT($B176,8),[1]!Table24[#Data],4,FALSE))</f>
        <v>AERO 390; ENGR 301. Students must have completed 75 credits in the program.</v>
      </c>
      <c r="F176" t="str">
        <f>IF(VLOOKUP(LEFT($B176,8),[1]!Table24[#Data],5,FALSE)=0,"",VLOOKUP(LEFT($B176,8),[1]!Table24[#Data],5,FALSE))</f>
        <v/>
      </c>
      <c r="G176" s="23" t="str">
        <f>IF(VLOOKUP(LEFT($B176,8),[1]!Table24[#Data],6,FALSE)=0,"",VLOOKUP(LEFT($B176,8),[1]!Table24[#Data],6,FALSE))</f>
        <v/>
      </c>
      <c r="H176" s="23" t="str">
        <f>IF(VLOOKUP(LEFT($B176,8),[1]!Table24[#Data],7,FALSE)=0,"",VLOOKUP(LEFT($B176,8),[1]!Table24[#Data],7,FALSE))</f>
        <v/>
      </c>
      <c r="I176" s="23" t="str">
        <f>IF(VLOOKUP(LEFT($B176,8),[1]!Table24[#Data],8,FALSE)=0,"",VLOOKUP(LEFT($B176,8),[1]!Table24[#Data],8,FALSE))</f>
        <v>X</v>
      </c>
      <c r="J176" s="23" t="str">
        <f>IF(VLOOKUP(LEFT($B176,8),[1]!Table24[#Data],9,FALSE)=0,"",VLOOKUP(LEFT($B176,8),[1]!Table24[#Data],9,FALSE))</f>
        <v/>
      </c>
      <c r="K176" s="55" t="s">
        <v>138</v>
      </c>
    </row>
    <row r="177" spans="1:11" x14ac:dyDescent="0.25">
      <c r="A177" s="46" t="s">
        <v>182</v>
      </c>
      <c r="B177" t="s">
        <v>5</v>
      </c>
      <c r="C177" t="str">
        <f>VLOOKUP(LEFT($B177,8),[1]!Table24[#Data],2,FALSE)</f>
        <v>Statics</v>
      </c>
      <c r="D177" s="48">
        <f>VLOOKUP(LEFT($B177,8),[1]!Table24[#Data],3,FALSE)</f>
        <v>3</v>
      </c>
      <c r="E177" t="str">
        <f>IF(VLOOKUP(LEFT($B177,8),[1]!Table24[#Data],4,FALSE)=0,"",VLOOKUP(LEFT($B177,8),[1]!Table24[#Data],4,FALSE))</f>
        <v>ENGR 213</v>
      </c>
      <c r="F177" t="str">
        <f>IF(VLOOKUP(LEFT($B177,8),[1]!Table24[#Data],5,FALSE)=0,"",VLOOKUP(LEFT($B177,8),[1]!Table24[#Data],5,FALSE))</f>
        <v>PHYS 204; MATH 204</v>
      </c>
      <c r="G177" s="23" t="str">
        <f>IF(VLOOKUP(LEFT($B177,8),[1]!Table24[#Data],6,FALSE)=0,"",VLOOKUP(LEFT($B177,8),[1]!Table24[#Data],6,FALSE))</f>
        <v>X</v>
      </c>
      <c r="H177" s="23" t="str">
        <f>IF(VLOOKUP(LEFT($B177,8),[1]!Table24[#Data],7,FALSE)=0,"",VLOOKUP(LEFT($B177,8),[1]!Table24[#Data],7,FALSE))</f>
        <v/>
      </c>
      <c r="I177" s="23" t="str">
        <f>IF(VLOOKUP(LEFT($B177,8),[1]!Table24[#Data],8,FALSE)=0,"",VLOOKUP(LEFT($B177,8),[1]!Table24[#Data],8,FALSE))</f>
        <v>X</v>
      </c>
      <c r="J177" s="23" t="str">
        <f>IF(VLOOKUP(LEFT($B177,8),[1]!Table24[#Data],9,FALSE)=0,"",VLOOKUP(LEFT($B177,8),[1]!Table24[#Data],9,FALSE))</f>
        <v>X</v>
      </c>
      <c r="K177" s="55" t="s">
        <v>138</v>
      </c>
    </row>
    <row r="178" spans="1:11" x14ac:dyDescent="0.25">
      <c r="A178" s="46" t="s">
        <v>182</v>
      </c>
      <c r="B178" t="s">
        <v>6</v>
      </c>
      <c r="C178" t="str">
        <f>VLOOKUP(LEFT($B178,8),[1]!Table24[#Data],2,FALSE)</f>
        <v>Dynamics</v>
      </c>
      <c r="D178" s="48">
        <f>VLOOKUP(LEFT($B178,8),[1]!Table24[#Data],3,FALSE)</f>
        <v>3</v>
      </c>
      <c r="E178" t="str">
        <f>IF(VLOOKUP(LEFT($B178,8),[1]!Table24[#Data],4,FALSE)=0,"",VLOOKUP(LEFT($B178,8),[1]!Table24[#Data],4,FALSE))</f>
        <v>ENGR 213, ENGR 242</v>
      </c>
      <c r="F178" t="str">
        <f>IF(VLOOKUP(LEFT($B178,8),[1]!Table24[#Data],5,FALSE)=0,"",VLOOKUP(LEFT($B178,8),[1]!Table24[#Data],5,FALSE))</f>
        <v/>
      </c>
      <c r="G178" s="23" t="str">
        <f>IF(VLOOKUP(LEFT($B178,8),[1]!Table24[#Data],6,FALSE)=0,"",VLOOKUP(LEFT($B178,8),[1]!Table24[#Data],6,FALSE))</f>
        <v>X</v>
      </c>
      <c r="H178" s="23" t="str">
        <f>IF(VLOOKUP(LEFT($B178,8),[1]!Table24[#Data],7,FALSE)=0,"",VLOOKUP(LEFT($B178,8),[1]!Table24[#Data],7,FALSE))</f>
        <v/>
      </c>
      <c r="I178" s="23" t="str">
        <f>IF(VLOOKUP(LEFT($B178,8),[1]!Table24[#Data],8,FALSE)=0,"",VLOOKUP(LEFT($B178,8),[1]!Table24[#Data],8,FALSE))</f>
        <v>X</v>
      </c>
      <c r="J178" s="23" t="str">
        <f>IF(VLOOKUP(LEFT($B178,8),[1]!Table24[#Data],9,FALSE)=0,"",VLOOKUP(LEFT($B178,8),[1]!Table24[#Data],9,FALSE))</f>
        <v>X</v>
      </c>
      <c r="K178" s="55" t="s">
        <v>138</v>
      </c>
    </row>
    <row r="179" spans="1:11" x14ac:dyDescent="0.25">
      <c r="A179" s="46" t="s">
        <v>182</v>
      </c>
      <c r="B179" t="s">
        <v>7</v>
      </c>
      <c r="C179" t="str">
        <f>VLOOKUP(LEFT($B179,8),[1]!Table24[#Data],2,FALSE)</f>
        <v>Mechanics of Materials</v>
      </c>
      <c r="D179" s="48">
        <f>VLOOKUP(LEFT($B179,8),[1]!Table24[#Data],3,FALSE)</f>
        <v>3.75</v>
      </c>
      <c r="E179" t="str">
        <f>IF(VLOOKUP(LEFT($B179,8),[1]!Table24[#Data],4,FALSE)=0,"",VLOOKUP(LEFT($B179,8),[1]!Table24[#Data],4,FALSE))</f>
        <v>ENGR 213; ENGR 242 or ENGR 245</v>
      </c>
      <c r="F179" t="str">
        <f>IF(VLOOKUP(LEFT($B179,8),[1]!Table24[#Data],5,FALSE)=0,"",VLOOKUP(LEFT($B179,8),[1]!Table24[#Data],5,FALSE))</f>
        <v>ENGR 233</v>
      </c>
      <c r="G179" s="23" t="str">
        <f>IF(VLOOKUP(LEFT($B179,8),[1]!Table24[#Data],6,FALSE)=0,"",VLOOKUP(LEFT($B179,8),[1]!Table24[#Data],6,FALSE))</f>
        <v>X</v>
      </c>
      <c r="H179" s="23" t="str">
        <f>IF(VLOOKUP(LEFT($B179,8),[1]!Table24[#Data],7,FALSE)=0,"",VLOOKUP(LEFT($B179,8),[1]!Table24[#Data],7,FALSE))</f>
        <v/>
      </c>
      <c r="I179" s="23" t="str">
        <f>IF(VLOOKUP(LEFT($B179,8),[1]!Table24[#Data],8,FALSE)=0,"",VLOOKUP(LEFT($B179,8),[1]!Table24[#Data],8,FALSE))</f>
        <v>X</v>
      </c>
      <c r="J179" s="23" t="str">
        <f>IF(VLOOKUP(LEFT($B179,8),[1]!Table24[#Data],9,FALSE)=0,"",VLOOKUP(LEFT($B179,8),[1]!Table24[#Data],9,FALSE))</f>
        <v>X</v>
      </c>
      <c r="K179" s="55" t="s">
        <v>138</v>
      </c>
    </row>
    <row r="180" spans="1:11" x14ac:dyDescent="0.25">
      <c r="A180" s="46" t="s">
        <v>182</v>
      </c>
      <c r="B180" t="s">
        <v>8</v>
      </c>
      <c r="C180" t="str">
        <f>VLOOKUP(LEFT($B180,8),[1]!Table24[#Data],2,FALSE)</f>
        <v>Thermodynamics I</v>
      </c>
      <c r="D180" s="48">
        <f>VLOOKUP(LEFT($B180,8),[1]!Table24[#Data],3,FALSE)</f>
        <v>3</v>
      </c>
      <c r="E180" t="str">
        <f>IF(VLOOKUP(LEFT($B180,8),[1]!Table24[#Data],4,FALSE)=0,"",VLOOKUP(LEFT($B180,8),[1]!Table24[#Data],4,FALSE))</f>
        <v>MATH 203</v>
      </c>
      <c r="F180" t="str">
        <f>IF(VLOOKUP(LEFT($B180,8),[1]!Table24[#Data],5,FALSE)=0,"",VLOOKUP(LEFT($B180,8),[1]!Table24[#Data],5,FALSE))</f>
        <v/>
      </c>
      <c r="G180" s="23" t="str">
        <f>IF(VLOOKUP(LEFT($B180,8),[1]!Table24[#Data],6,FALSE)=0,"",VLOOKUP(LEFT($B180,8),[1]!Table24[#Data],6,FALSE))</f>
        <v>X</v>
      </c>
      <c r="H180" s="23" t="str">
        <f>IF(VLOOKUP(LEFT($B180,8),[1]!Table24[#Data],7,FALSE)=0,"",VLOOKUP(LEFT($B180,8),[1]!Table24[#Data],7,FALSE))</f>
        <v>X</v>
      </c>
      <c r="I180" s="23" t="str">
        <f>IF(VLOOKUP(LEFT($B180,8),[1]!Table24[#Data],8,FALSE)=0,"",VLOOKUP(LEFT($B180,8),[1]!Table24[#Data],8,FALSE))</f>
        <v>X</v>
      </c>
      <c r="J180" s="23" t="str">
        <f>IF(VLOOKUP(LEFT($B180,8),[1]!Table24[#Data],9,FALSE)=0,"",VLOOKUP(LEFT($B180,8),[1]!Table24[#Data],9,FALSE))</f>
        <v>X</v>
      </c>
      <c r="K180" s="55" t="s">
        <v>138</v>
      </c>
    </row>
    <row r="181" spans="1:11" x14ac:dyDescent="0.25">
      <c r="A181" s="46" t="s">
        <v>182</v>
      </c>
      <c r="B181" t="s">
        <v>11</v>
      </c>
      <c r="C181" t="str">
        <f>VLOOKUP(LEFT($B181,8),[1]!Table24[#Data],2,FALSE)</f>
        <v>Fluid Mechanics I</v>
      </c>
      <c r="D181" s="48">
        <f>VLOOKUP(LEFT($B181,8),[1]!Table24[#Data],3,FALSE)</f>
        <v>3</v>
      </c>
      <c r="E181" t="str">
        <f>IF(VLOOKUP(LEFT($B181,8),[1]!Table24[#Data],4,FALSE)=0,"",VLOOKUP(LEFT($B181,8),[1]!Table24[#Data],4,FALSE))</f>
        <v>ENGR 213, ENGR 233, ENGR 251 or AERO 253</v>
      </c>
      <c r="F181" t="str">
        <f>IF(VLOOKUP(LEFT($B181,8),[1]!Table24[#Data],5,FALSE)=0,"",VLOOKUP(LEFT($B181,8),[1]!Table24[#Data],5,FALSE))</f>
        <v/>
      </c>
      <c r="G181" s="23" t="str">
        <f>IF(VLOOKUP(LEFT($B181,8),[1]!Table24[#Data],6,FALSE)=0,"",VLOOKUP(LEFT($B181,8),[1]!Table24[#Data],6,FALSE))</f>
        <v>X</v>
      </c>
      <c r="H181" s="23" t="str">
        <f>IF(VLOOKUP(LEFT($B181,8),[1]!Table24[#Data],7,FALSE)=0,"",VLOOKUP(LEFT($B181,8),[1]!Table24[#Data],7,FALSE))</f>
        <v/>
      </c>
      <c r="I181" s="23" t="str">
        <f>IF(VLOOKUP(LEFT($B181,8),[1]!Table24[#Data],8,FALSE)=0,"",VLOOKUP(LEFT($B181,8),[1]!Table24[#Data],8,FALSE))</f>
        <v>X</v>
      </c>
      <c r="J181" s="23" t="str">
        <f>IF(VLOOKUP(LEFT($B181,8),[1]!Table24[#Data],9,FALSE)=0,"",VLOOKUP(LEFT($B181,8),[1]!Table24[#Data],9,FALSE))</f>
        <v>X</v>
      </c>
      <c r="K181" s="55" t="s">
        <v>138</v>
      </c>
    </row>
    <row r="182" spans="1:11" x14ac:dyDescent="0.25">
      <c r="A182" s="56" t="s">
        <v>180</v>
      </c>
      <c r="B182" t="s">
        <v>190</v>
      </c>
      <c r="C182" t="str">
        <f>VLOOKUP(LEFT($B182,8),[1]!Table24[#Data],2,FALSE)</f>
        <v>Aerospace Vehicle Performance</v>
      </c>
      <c r="D182" s="48">
        <f>VLOOKUP(LEFT($B182,8),[1]!Table24[#Data],3,FALSE)</f>
        <v>3</v>
      </c>
      <c r="E182" t="str">
        <f>IF(VLOOKUP(LEFT($B182,8),[1]!Table24[#Data],4,FALSE)=0,"",VLOOKUP(LEFT($B182,8),[1]!Table24[#Data],4,FALSE))</f>
        <v>MECH 361</v>
      </c>
      <c r="F182" t="str">
        <f>IF(VLOOKUP(LEFT($B182,8),[1]!Table24[#Data],5,FALSE)=0,"",VLOOKUP(LEFT($B182,8),[1]!Table24[#Data],5,FALSE))</f>
        <v/>
      </c>
      <c r="G182" s="23" t="str">
        <f>IF(VLOOKUP(LEFT($B182,8),[1]!Table24[#Data],6,FALSE)=0,"",VLOOKUP(LEFT($B182,8),[1]!Table24[#Data],6,FALSE))</f>
        <v/>
      </c>
      <c r="H182" s="23" t="str">
        <f>IF(VLOOKUP(LEFT($B182,8),[1]!Table24[#Data],7,FALSE)=0,"",VLOOKUP(LEFT($B182,8),[1]!Table24[#Data],7,FALSE))</f>
        <v/>
      </c>
      <c r="I182" s="23" t="str">
        <f>IF(VLOOKUP(LEFT($B182,8),[1]!Table24[#Data],8,FALSE)=0,"",VLOOKUP(LEFT($B182,8),[1]!Table24[#Data],8,FALSE))</f>
        <v/>
      </c>
      <c r="J182" s="23" t="str">
        <f>IF(VLOOKUP(LEFT($B182,8),[1]!Table24[#Data],9,FALSE)=0,"",VLOOKUP(LEFT($B182,8),[1]!Table24[#Data],9,FALSE))</f>
        <v>X</v>
      </c>
      <c r="K182" s="12" t="s">
        <v>135</v>
      </c>
    </row>
    <row r="183" spans="1:11" x14ac:dyDescent="0.25">
      <c r="A183" s="56" t="s">
        <v>180</v>
      </c>
      <c r="B183" t="s">
        <v>191</v>
      </c>
      <c r="C183" t="str">
        <f>VLOOKUP(LEFT($B183,8),[1]!Table24[#Data],2,FALSE)</f>
        <v>Computational Fluid Dynamics for Aerospace Applications</v>
      </c>
      <c r="D183" s="48">
        <f>VLOOKUP(LEFT($B183,8),[1]!Table24[#Data],3,FALSE)</f>
        <v>3.75</v>
      </c>
      <c r="E183" t="str">
        <f>IF(VLOOKUP(LEFT($B183,8),[1]!Table24[#Data],4,FALSE)=0,"",VLOOKUP(LEFT($B183,8),[1]!Table24[#Data],4,FALSE))</f>
        <v>ENGR 311, ENGR 391; MECH 361</v>
      </c>
      <c r="F183" t="str">
        <f>IF(VLOOKUP(LEFT($B183,8),[1]!Table24[#Data],5,FALSE)=0,"",VLOOKUP(LEFT($B183,8),[1]!Table24[#Data],5,FALSE))</f>
        <v/>
      </c>
      <c r="G183" s="23" t="str">
        <f>IF(VLOOKUP(LEFT($B183,8),[1]!Table24[#Data],6,FALSE)=0,"",VLOOKUP(LEFT($B183,8),[1]!Table24[#Data],6,FALSE))</f>
        <v/>
      </c>
      <c r="H183" s="23" t="str">
        <f>IF(VLOOKUP(LEFT($B183,8),[1]!Table24[#Data],7,FALSE)=0,"",VLOOKUP(LEFT($B183,8),[1]!Table24[#Data],7,FALSE))</f>
        <v/>
      </c>
      <c r="I183" s="23" t="str">
        <f>IF(VLOOKUP(LEFT($B183,8),[1]!Table24[#Data],8,FALSE)=0,"",VLOOKUP(LEFT($B183,8),[1]!Table24[#Data],8,FALSE))</f>
        <v/>
      </c>
      <c r="J183" s="23" t="str">
        <f>IF(VLOOKUP(LEFT($B183,8),[1]!Table24[#Data],9,FALSE)=0,"",VLOOKUP(LEFT($B183,8),[1]!Table24[#Data],9,FALSE))</f>
        <v>X</v>
      </c>
      <c r="K183" s="12" t="s">
        <v>135</v>
      </c>
    </row>
    <row r="184" spans="1:11" x14ac:dyDescent="0.25">
      <c r="A184" s="56" t="s">
        <v>180</v>
      </c>
      <c r="B184" t="s">
        <v>192</v>
      </c>
      <c r="C184" t="str">
        <f>VLOOKUP(LEFT($B184,8),[1]!Table24[#Data],2,FALSE)</f>
        <v>Turbomachinery and Propulsion</v>
      </c>
      <c r="D184" s="48">
        <f>VLOOKUP(LEFT($B184,8),[1]!Table24[#Data],3,FALSE)</f>
        <v>3</v>
      </c>
      <c r="E184" t="str">
        <f>IF(VLOOKUP(LEFT($B184,8),[1]!Table24[#Data],4,FALSE)=0,"",VLOOKUP(LEFT($B184,8),[1]!Table24[#Data],4,FALSE))</f>
        <v>MECH 351, MECH 361</v>
      </c>
      <c r="F184" t="str">
        <f>IF(VLOOKUP(LEFT($B184,8),[1]!Table24[#Data],5,FALSE)=0,"",VLOOKUP(LEFT($B184,8),[1]!Table24[#Data],5,FALSE))</f>
        <v/>
      </c>
      <c r="G184" s="23" t="str">
        <f>IF(VLOOKUP(LEFT($B184,8),[1]!Table24[#Data],6,FALSE)=0,"",VLOOKUP(LEFT($B184,8),[1]!Table24[#Data],6,FALSE))</f>
        <v/>
      </c>
      <c r="H184" s="23" t="str">
        <f>IF(VLOOKUP(LEFT($B184,8),[1]!Table24[#Data],7,FALSE)=0,"",VLOOKUP(LEFT($B184,8),[1]!Table24[#Data],7,FALSE))</f>
        <v/>
      </c>
      <c r="I184" s="23" t="str">
        <f>IF(VLOOKUP(LEFT($B184,8),[1]!Table24[#Data],8,FALSE)=0,"",VLOOKUP(LEFT($B184,8),[1]!Table24[#Data],8,FALSE))</f>
        <v>X</v>
      </c>
      <c r="J184" s="23" t="str">
        <f>IF(VLOOKUP(LEFT($B184,8),[1]!Table24[#Data],9,FALSE)=0,"",VLOOKUP(LEFT($B184,8),[1]!Table24[#Data],9,FALSE))</f>
        <v/>
      </c>
      <c r="K184" s="12" t="s">
        <v>135</v>
      </c>
    </row>
    <row r="185" spans="1:11" x14ac:dyDescent="0.25">
      <c r="A185" s="56" t="s">
        <v>180</v>
      </c>
      <c r="B185" t="s">
        <v>193</v>
      </c>
      <c r="C185" t="str">
        <f>VLOOKUP(LEFT($B185,8),[1]!Table24[#Data],2,FALSE)</f>
        <v>Aerodynamics</v>
      </c>
      <c r="D185" s="48">
        <f>VLOOKUP(LEFT($B185,8),[1]!Table24[#Data],3,FALSE)</f>
        <v>3</v>
      </c>
      <c r="E185" t="str">
        <f>IF(VLOOKUP(LEFT($B185,8),[1]!Table24[#Data],4,FALSE)=0,"",VLOOKUP(LEFT($B185,8),[1]!Table24[#Data],4,FALSE))</f>
        <v>MECH 361</v>
      </c>
      <c r="F185" t="str">
        <f>IF(VLOOKUP(LEFT($B185,8),[1]!Table24[#Data],5,FALSE)=0,"",VLOOKUP(LEFT($B185,8),[1]!Table24[#Data],5,FALSE))</f>
        <v/>
      </c>
      <c r="G185" s="23" t="str">
        <f>IF(VLOOKUP(LEFT($B185,8),[1]!Table24[#Data],6,FALSE)=0,"",VLOOKUP(LEFT($B185,8),[1]!Table24[#Data],6,FALSE))</f>
        <v/>
      </c>
      <c r="H185" s="23" t="str">
        <f>IF(VLOOKUP(LEFT($B185,8),[1]!Table24[#Data],7,FALSE)=0,"",VLOOKUP(LEFT($B185,8),[1]!Table24[#Data],7,FALSE))</f>
        <v/>
      </c>
      <c r="I185" s="23" t="str">
        <f>IF(VLOOKUP(LEFT($B185,8),[1]!Table24[#Data],8,FALSE)=0,"",VLOOKUP(LEFT($B185,8),[1]!Table24[#Data],8,FALSE))</f>
        <v>X</v>
      </c>
      <c r="J185" s="23" t="str">
        <f>IF(VLOOKUP(LEFT($B185,8),[1]!Table24[#Data],9,FALSE)=0,"",VLOOKUP(LEFT($B185,8),[1]!Table24[#Data],9,FALSE))</f>
        <v>X</v>
      </c>
      <c r="K185" s="12" t="s">
        <v>135</v>
      </c>
    </row>
    <row r="186" spans="1:11" x14ac:dyDescent="0.25">
      <c r="A186" s="56" t="s">
        <v>180</v>
      </c>
      <c r="B186" t="s">
        <v>194</v>
      </c>
      <c r="C186" t="str">
        <f>VLOOKUP(LEFT($B186,8),[1]!Table24[#Data],2,FALSE)</f>
        <v>Gas Turbine Design</v>
      </c>
      <c r="D186" s="48">
        <f>VLOOKUP(LEFT($B186,8),[1]!Table24[#Data],3,FALSE)</f>
        <v>3.5</v>
      </c>
      <c r="E186" t="str">
        <f>IF(VLOOKUP(LEFT($B186,8),[1]!Table24[#Data],4,FALSE)=0,"",VLOOKUP(LEFT($B186,8),[1]!Table24[#Data],4,FALSE))</f>
        <v>AERO 462</v>
      </c>
      <c r="F186" t="str">
        <f>IF(VLOOKUP(LEFT($B186,8),[1]!Table24[#Data],5,FALSE)=0,"",VLOOKUP(LEFT($B186,8),[1]!Table24[#Data],5,FALSE))</f>
        <v/>
      </c>
      <c r="G186" s="23" t="str">
        <f>IF(VLOOKUP(LEFT($B186,8),[1]!Table24[#Data],6,FALSE)=0,"",VLOOKUP(LEFT($B186,8),[1]!Table24[#Data],6,FALSE))</f>
        <v/>
      </c>
      <c r="H186" s="23" t="str">
        <f>IF(VLOOKUP(LEFT($B186,8),[1]!Table24[#Data],7,FALSE)=0,"",VLOOKUP(LEFT($B186,8),[1]!Table24[#Data],7,FALSE))</f>
        <v/>
      </c>
      <c r="I186" s="23" t="str">
        <f>IF(VLOOKUP(LEFT($B186,8),[1]!Table24[#Data],8,FALSE)=0,"",VLOOKUP(LEFT($B186,8),[1]!Table24[#Data],8,FALSE))</f>
        <v/>
      </c>
      <c r="J186" s="23" t="str">
        <f>IF(VLOOKUP(LEFT($B186,8),[1]!Table24[#Data],9,FALSE)=0,"",VLOOKUP(LEFT($B186,8),[1]!Table24[#Data],9,FALSE))</f>
        <v>X</v>
      </c>
      <c r="K186" s="12" t="s">
        <v>135</v>
      </c>
    </row>
    <row r="187" spans="1:11" x14ac:dyDescent="0.25">
      <c r="A187" s="56" t="s">
        <v>180</v>
      </c>
      <c r="B187" t="s">
        <v>195</v>
      </c>
      <c r="C187" t="str">
        <f>VLOOKUP(LEFT($B187,8),[1]!Table24[#Data],2,FALSE)</f>
        <v>Materials Engineering for Aerospace</v>
      </c>
      <c r="D187" s="48">
        <f>VLOOKUP(LEFT($B187,8),[1]!Table24[#Data],3,FALSE)</f>
        <v>3.5</v>
      </c>
      <c r="E187" t="str">
        <f>IF(VLOOKUP(LEFT($B187,8),[1]!Table24[#Data],4,FALSE)=0,"",VLOOKUP(LEFT($B187,8),[1]!Table24[#Data],4,FALSE))</f>
        <v>MECH 221 or MIAE</v>
      </c>
      <c r="F187" t="str">
        <f>IF(VLOOKUP(LEFT($B187,8),[1]!Table24[#Data],5,FALSE)=0,"",VLOOKUP(LEFT($B187,8),[1]!Table24[#Data],5,FALSE))</f>
        <v/>
      </c>
      <c r="G187" s="23" t="str">
        <f>IF(VLOOKUP(LEFT($B187,8),[1]!Table24[#Data],6,FALSE)=0,"",VLOOKUP(LEFT($B187,8),[1]!Table24[#Data],6,FALSE))</f>
        <v/>
      </c>
      <c r="H187" s="23" t="str">
        <f>IF(VLOOKUP(LEFT($B187,8),[1]!Table24[#Data],7,FALSE)=0,"",VLOOKUP(LEFT($B187,8),[1]!Table24[#Data],7,FALSE))</f>
        <v/>
      </c>
      <c r="I187" s="23" t="str">
        <f>IF(VLOOKUP(LEFT($B187,8),[1]!Table24[#Data],8,FALSE)=0,"",VLOOKUP(LEFT($B187,8),[1]!Table24[#Data],8,FALSE))</f>
        <v>X</v>
      </c>
      <c r="J187" s="23" t="str">
        <f>IF(VLOOKUP(LEFT($B187,8),[1]!Table24[#Data],9,FALSE)=0,"",VLOOKUP(LEFT($B187,8),[1]!Table24[#Data],9,FALSE))</f>
        <v/>
      </c>
      <c r="K187" s="12" t="s">
        <v>135</v>
      </c>
    </row>
    <row r="188" spans="1:11" x14ac:dyDescent="0.25">
      <c r="A188" s="56" t="s">
        <v>180</v>
      </c>
      <c r="B188" t="s">
        <v>10</v>
      </c>
      <c r="C188" t="str">
        <f>VLOOKUP(LEFT($B188,8),[1]!Table24[#Data],2,FALSE)</f>
        <v>Transform Calculus and Partial Differential Equations</v>
      </c>
      <c r="D188" s="48">
        <f>VLOOKUP(LEFT($B188,8),[1]!Table24[#Data],3,FALSE)</f>
        <v>3</v>
      </c>
      <c r="E188" t="str">
        <f>IF(VLOOKUP(LEFT($B188,8),[1]!Table24[#Data],4,FALSE)=0,"",VLOOKUP(LEFT($B188,8),[1]!Table24[#Data],4,FALSE))</f>
        <v>ENGR 213, ENGR 233</v>
      </c>
      <c r="F188" t="str">
        <f>IF(VLOOKUP(LEFT($B188,8),[1]!Table24[#Data],5,FALSE)=0,"",VLOOKUP(LEFT($B188,8),[1]!Table24[#Data],5,FALSE))</f>
        <v/>
      </c>
      <c r="G188" s="23" t="str">
        <f>IF(VLOOKUP(LEFT($B188,8),[1]!Table24[#Data],6,FALSE)=0,"",VLOOKUP(LEFT($B188,8),[1]!Table24[#Data],6,FALSE))</f>
        <v>X</v>
      </c>
      <c r="H188" s="23" t="str">
        <f>IF(VLOOKUP(LEFT($B188,8),[1]!Table24[#Data],7,FALSE)=0,"",VLOOKUP(LEFT($B188,8),[1]!Table24[#Data],7,FALSE))</f>
        <v>X</v>
      </c>
      <c r="I188" s="23" t="str">
        <f>IF(VLOOKUP(LEFT($B188,8),[1]!Table24[#Data],8,FALSE)=0,"",VLOOKUP(LEFT($B188,8),[1]!Table24[#Data],8,FALSE))</f>
        <v>X</v>
      </c>
      <c r="J188" s="23" t="str">
        <f>IF(VLOOKUP(LEFT($B188,8),[1]!Table24[#Data],9,FALSE)=0,"",VLOOKUP(LEFT($B188,8),[1]!Table24[#Data],9,FALSE))</f>
        <v>X</v>
      </c>
      <c r="K188" s="12" t="s">
        <v>135</v>
      </c>
    </row>
    <row r="189" spans="1:11" x14ac:dyDescent="0.25">
      <c r="A189" s="56" t="s">
        <v>180</v>
      </c>
      <c r="B189" t="s">
        <v>19</v>
      </c>
      <c r="C189" t="str">
        <f>VLOOKUP(LEFT($B189,8),[1]!Table24[#Data],2,FALSE)</f>
        <v>Theory of Machines</v>
      </c>
      <c r="D189" s="48">
        <f>VLOOKUP(LEFT($B189,8),[1]!Table24[#Data],3,FALSE)</f>
        <v>3.5</v>
      </c>
      <c r="E189" t="str">
        <f>IF(VLOOKUP(LEFT($B189,8),[1]!Table24[#Data],4,FALSE)=0,"",VLOOKUP(LEFT($B189,8),[1]!Table24[#Data],4,FALSE))</f>
        <v>ENGR 213, ENGR 233, ENGR 243</v>
      </c>
      <c r="F189" t="str">
        <f>IF(VLOOKUP(LEFT($B189,8),[1]!Table24[#Data],5,FALSE)=0,"",VLOOKUP(LEFT($B189,8),[1]!Table24[#Data],5,FALSE))</f>
        <v/>
      </c>
      <c r="G189" s="23" t="str">
        <f>IF(VLOOKUP(LEFT($B189,8),[1]!Table24[#Data],6,FALSE)=0,"",VLOOKUP(LEFT($B189,8),[1]!Table24[#Data],6,FALSE))</f>
        <v/>
      </c>
      <c r="H189" s="23" t="str">
        <f>IF(VLOOKUP(LEFT($B189,8),[1]!Table24[#Data],7,FALSE)=0,"",VLOOKUP(LEFT($B189,8),[1]!Table24[#Data],7,FALSE))</f>
        <v/>
      </c>
      <c r="I189" s="23" t="str">
        <f>IF(VLOOKUP(LEFT($B189,8),[1]!Table24[#Data],8,FALSE)=0,"",VLOOKUP(LEFT($B189,8),[1]!Table24[#Data],8,FALSE))</f>
        <v>X</v>
      </c>
      <c r="J189" s="23" t="str">
        <f>IF(VLOOKUP(LEFT($B189,8),[1]!Table24[#Data],9,FALSE)=0,"",VLOOKUP(LEFT($B189,8),[1]!Table24[#Data],9,FALSE))</f>
        <v>X</v>
      </c>
      <c r="K189" s="12" t="s">
        <v>135</v>
      </c>
    </row>
    <row r="190" spans="1:11" x14ac:dyDescent="0.25">
      <c r="A190" s="56" t="s">
        <v>180</v>
      </c>
      <c r="B190" t="s">
        <v>21</v>
      </c>
      <c r="C190" t="str">
        <f>VLOOKUP(LEFT($B190,8),[1]!Table24[#Data],2,FALSE)</f>
        <v>Thermodynamics II</v>
      </c>
      <c r="D190" s="48">
        <f>VLOOKUP(LEFT($B190,8),[1]!Table24[#Data],3,FALSE)</f>
        <v>3.5</v>
      </c>
      <c r="E190" t="str">
        <f>IF(VLOOKUP(LEFT($B190,8),[1]!Table24[#Data],4,FALSE)=0,"",VLOOKUP(LEFT($B190,8),[1]!Table24[#Data],4,FALSE))</f>
        <v>ENGR 251</v>
      </c>
      <c r="F190" t="str">
        <f>IF(VLOOKUP(LEFT($B190,8),[1]!Table24[#Data],5,FALSE)=0,"",VLOOKUP(LEFT($B190,8),[1]!Table24[#Data],5,FALSE))</f>
        <v/>
      </c>
      <c r="G190" s="23" t="str">
        <f>IF(VLOOKUP(LEFT($B190,8),[1]!Table24[#Data],6,FALSE)=0,"",VLOOKUP(LEFT($B190,8),[1]!Table24[#Data],6,FALSE))</f>
        <v/>
      </c>
      <c r="H190" s="23" t="str">
        <f>IF(VLOOKUP(LEFT($B190,8),[1]!Table24[#Data],7,FALSE)=0,"",VLOOKUP(LEFT($B190,8),[1]!Table24[#Data],7,FALSE))</f>
        <v/>
      </c>
      <c r="I190" s="23" t="str">
        <f>IF(VLOOKUP(LEFT($B190,8),[1]!Table24[#Data],8,FALSE)=0,"",VLOOKUP(LEFT($B190,8),[1]!Table24[#Data],8,FALSE))</f>
        <v>X</v>
      </c>
      <c r="J190" s="23" t="str">
        <f>IF(VLOOKUP(LEFT($B190,8),[1]!Table24[#Data],9,FALSE)=0,"",VLOOKUP(LEFT($B190,8),[1]!Table24[#Data],9,FALSE))</f>
        <v>X</v>
      </c>
      <c r="K190" s="12" t="s">
        <v>135</v>
      </c>
    </row>
    <row r="191" spans="1:11" x14ac:dyDescent="0.25">
      <c r="A191" s="56" t="s">
        <v>180</v>
      </c>
      <c r="B191" t="s">
        <v>22</v>
      </c>
      <c r="C191" t="str">
        <f>VLOOKUP(LEFT($B191,8),[1]!Table24[#Data],2,FALSE)</f>
        <v>Heat Transfer I</v>
      </c>
      <c r="D191" s="48">
        <f>VLOOKUP(LEFT($B191,8),[1]!Table24[#Data],3,FALSE)</f>
        <v>3.5</v>
      </c>
      <c r="E191" t="str">
        <f>IF(VLOOKUP(LEFT($B191,8),[1]!Table24[#Data],4,FALSE)=0,"",VLOOKUP(LEFT($B191,8),[1]!Table24[#Data],4,FALSE))</f>
        <v>ENGR 311, ENGR 361</v>
      </c>
      <c r="F191" t="str">
        <f>IF(VLOOKUP(LEFT($B191,8),[1]!Table24[#Data],5,FALSE)=0,"",VLOOKUP(LEFT($B191,8),[1]!Table24[#Data],5,FALSE))</f>
        <v/>
      </c>
      <c r="G191" s="23" t="str">
        <f>IF(VLOOKUP(LEFT($B191,8),[1]!Table24[#Data],6,FALSE)=0,"",VLOOKUP(LEFT($B191,8),[1]!Table24[#Data],6,FALSE))</f>
        <v/>
      </c>
      <c r="H191" s="23" t="str">
        <f>IF(VLOOKUP(LEFT($B191,8),[1]!Table24[#Data],7,FALSE)=0,"",VLOOKUP(LEFT($B191,8),[1]!Table24[#Data],7,FALSE))</f>
        <v/>
      </c>
      <c r="I191" s="23" t="str">
        <f>IF(VLOOKUP(LEFT($B191,8),[1]!Table24[#Data],8,FALSE)=0,"",VLOOKUP(LEFT($B191,8),[1]!Table24[#Data],8,FALSE))</f>
        <v>X</v>
      </c>
      <c r="J191" s="23" t="str">
        <f>IF(VLOOKUP(LEFT($B191,8),[1]!Table24[#Data],9,FALSE)=0,"",VLOOKUP(LEFT($B191,8),[1]!Table24[#Data],9,FALSE))</f>
        <v>X</v>
      </c>
      <c r="K191" s="12" t="s">
        <v>135</v>
      </c>
    </row>
    <row r="192" spans="1:11" x14ac:dyDescent="0.25">
      <c r="A192" s="56" t="s">
        <v>180</v>
      </c>
      <c r="B192" t="s">
        <v>23</v>
      </c>
      <c r="C192" t="str">
        <f>VLOOKUP(LEFT($B192,8),[1]!Table24[#Data],2,FALSE)</f>
        <v>Fluid Mechanics II</v>
      </c>
      <c r="D192" s="48">
        <f>VLOOKUP(LEFT($B192,8),[1]!Table24[#Data],3,FALSE)</f>
        <v>3.5</v>
      </c>
      <c r="E192" t="str">
        <f>IF(VLOOKUP(LEFT($B192,8),[1]!Table24[#Data],4,FALSE)=0,"",VLOOKUP(LEFT($B192,8),[1]!Table24[#Data],4,FALSE))</f>
        <v>ENGR 361</v>
      </c>
      <c r="F192" t="str">
        <f>IF(VLOOKUP(LEFT($B192,8),[1]!Table24[#Data],5,FALSE)=0,"",VLOOKUP(LEFT($B192,8),[1]!Table24[#Data],5,FALSE))</f>
        <v/>
      </c>
      <c r="G192" s="23" t="str">
        <f>IF(VLOOKUP(LEFT($B192,8),[1]!Table24[#Data],6,FALSE)=0,"",VLOOKUP(LEFT($B192,8),[1]!Table24[#Data],6,FALSE))</f>
        <v/>
      </c>
      <c r="H192" s="23" t="str">
        <f>IF(VLOOKUP(LEFT($B192,8),[1]!Table24[#Data],7,FALSE)=0,"",VLOOKUP(LEFT($B192,8),[1]!Table24[#Data],7,FALSE))</f>
        <v/>
      </c>
      <c r="I192" s="23" t="str">
        <f>IF(VLOOKUP(LEFT($B192,8),[1]!Table24[#Data],8,FALSE)=0,"",VLOOKUP(LEFT($B192,8),[1]!Table24[#Data],8,FALSE))</f>
        <v>X</v>
      </c>
      <c r="J192" s="23" t="str">
        <f>IF(VLOOKUP(LEFT($B192,8),[1]!Table24[#Data],9,FALSE)=0,"",VLOOKUP(LEFT($B192,8),[1]!Table24[#Data],9,FALSE))</f>
        <v>X</v>
      </c>
      <c r="K192" s="12" t="s">
        <v>135</v>
      </c>
    </row>
    <row r="193" spans="1:11" x14ac:dyDescent="0.25">
      <c r="A193" s="56" t="s">
        <v>180</v>
      </c>
      <c r="B193" t="s">
        <v>196</v>
      </c>
      <c r="C193" t="str">
        <f>VLOOKUP(LEFT($B193,8),[1]!Table24[#Data],2,FALSE)</f>
        <v>Gas Dynamics</v>
      </c>
      <c r="D193" s="48">
        <f>VLOOKUP(LEFT($B193,8),[1]!Table24[#Data],3,FALSE)</f>
        <v>3.5</v>
      </c>
      <c r="E193" t="str">
        <f>IF(VLOOKUP(LEFT($B193,8),[1]!Table24[#Data],4,FALSE)=0,"",VLOOKUP(LEFT($B193,8),[1]!Table24[#Data],4,FALSE))</f>
        <v>MECH 361</v>
      </c>
      <c r="F193" t="str">
        <f>IF(VLOOKUP(LEFT($B193,8),[1]!Table24[#Data],5,FALSE)=0,"",VLOOKUP(LEFT($B193,8),[1]!Table24[#Data],5,FALSE))</f>
        <v/>
      </c>
      <c r="G193" s="23" t="str">
        <f>IF(VLOOKUP(LEFT($B193,8),[1]!Table24[#Data],6,FALSE)=0,"",VLOOKUP(LEFT($B193,8),[1]!Table24[#Data],6,FALSE))</f>
        <v/>
      </c>
      <c r="H193" s="23" t="str">
        <f>IF(VLOOKUP(LEFT($B193,8),[1]!Table24[#Data],7,FALSE)=0,"",VLOOKUP(LEFT($B193,8),[1]!Table24[#Data],7,FALSE))</f>
        <v/>
      </c>
      <c r="I193" s="23" t="str">
        <f>IF(VLOOKUP(LEFT($B193,8),[1]!Table24[#Data],8,FALSE)=0,"",VLOOKUP(LEFT($B193,8),[1]!Table24[#Data],8,FALSE))</f>
        <v>X</v>
      </c>
      <c r="J193" s="23" t="str">
        <f>IF(VLOOKUP(LEFT($B193,8),[1]!Table24[#Data],9,FALSE)=0,"",VLOOKUP(LEFT($B193,8),[1]!Table24[#Data],9,FALSE))</f>
        <v/>
      </c>
      <c r="K193" s="12" t="s">
        <v>135</v>
      </c>
    </row>
    <row r="194" spans="1:11" x14ac:dyDescent="0.25">
      <c r="A194" s="56" t="s">
        <v>180</v>
      </c>
      <c r="B194" t="s">
        <v>29</v>
      </c>
      <c r="C194" t="str">
        <f>VLOOKUP(LEFT($B194,8),[1]!Table24[#Data],2,FALSE)</f>
        <v>Mechanical Engineering Drawing</v>
      </c>
      <c r="D194" s="48">
        <f>VLOOKUP(LEFT($B194,8),[1]!Table24[#Data],3,FALSE)</f>
        <v>3.5</v>
      </c>
      <c r="E194" t="str">
        <f>IF(VLOOKUP(LEFT($B194,8),[1]!Table24[#Data],4,FALSE)=0,"",VLOOKUP(LEFT($B194,8),[1]!Table24[#Data],4,FALSE))</f>
        <v/>
      </c>
      <c r="F194" t="str">
        <f>IF(VLOOKUP(LEFT($B194,8),[1]!Table24[#Data],5,FALSE)=0,"",VLOOKUP(LEFT($B194,8),[1]!Table24[#Data],5,FALSE))</f>
        <v/>
      </c>
      <c r="G194" s="23" t="str">
        <f>IF(VLOOKUP(LEFT($B194,8),[1]!Table24[#Data],6,FALSE)=0,"",VLOOKUP(LEFT($B194,8),[1]!Table24[#Data],6,FALSE))</f>
        <v>X</v>
      </c>
      <c r="H194" s="23" t="str">
        <f>IF(VLOOKUP(LEFT($B194,8),[1]!Table24[#Data],7,FALSE)=0,"",VLOOKUP(LEFT($B194,8),[1]!Table24[#Data],7,FALSE))</f>
        <v/>
      </c>
      <c r="I194" s="23" t="str">
        <f>IF(VLOOKUP(LEFT($B194,8),[1]!Table24[#Data],8,FALSE)=0,"",VLOOKUP(LEFT($B194,8),[1]!Table24[#Data],8,FALSE))</f>
        <v>X</v>
      </c>
      <c r="J194" s="23" t="str">
        <f>IF(VLOOKUP(LEFT($B194,8),[1]!Table24[#Data],9,FALSE)=0,"",VLOOKUP(LEFT($B194,8),[1]!Table24[#Data],9,FALSE))</f>
        <v>X</v>
      </c>
      <c r="K194" s="12" t="s">
        <v>135</v>
      </c>
    </row>
    <row r="195" spans="1:11" x14ac:dyDescent="0.25">
      <c r="A195" s="56" t="s">
        <v>180</v>
      </c>
      <c r="B195" t="s">
        <v>30</v>
      </c>
      <c r="C195" t="str">
        <f>VLOOKUP(LEFT($B195,8),[1]!Table24[#Data],2,FALSE)</f>
        <v>Programming for Mechanical, Industrial and Aerospace Engineers</v>
      </c>
      <c r="D195" s="48">
        <f>VLOOKUP(LEFT($B195,8),[1]!Table24[#Data],3,FALSE)</f>
        <v>3.5</v>
      </c>
      <c r="E195" t="str">
        <f>IF(VLOOKUP(LEFT($B195,8),[1]!Table24[#Data],4,FALSE)=0,"",VLOOKUP(LEFT($B195,8),[1]!Table24[#Data],4,FALSE))</f>
        <v>MATH 204 (Cegep mathematics 105)</v>
      </c>
      <c r="F195" t="str">
        <f>IF(VLOOKUP(LEFT($B195,8),[1]!Table24[#Data],5,FALSE)=0,"",VLOOKUP(LEFT($B195,8),[1]!Table24[#Data],5,FALSE))</f>
        <v/>
      </c>
      <c r="G195" s="23" t="str">
        <f>IF(VLOOKUP(LEFT($B195,8),[1]!Table24[#Data],6,FALSE)=0,"",VLOOKUP(LEFT($B195,8),[1]!Table24[#Data],6,FALSE))</f>
        <v/>
      </c>
      <c r="H195" s="23" t="str">
        <f>IF(VLOOKUP(LEFT($B195,8),[1]!Table24[#Data],7,FALSE)=0,"",VLOOKUP(LEFT($B195,8),[1]!Table24[#Data],7,FALSE))</f>
        <v>X</v>
      </c>
      <c r="I195" s="23" t="str">
        <f>IF(VLOOKUP(LEFT($B195,8),[1]!Table24[#Data],8,FALSE)=0,"",VLOOKUP(LEFT($B195,8),[1]!Table24[#Data],8,FALSE))</f>
        <v>X</v>
      </c>
      <c r="J195" s="23" t="str">
        <f>IF(VLOOKUP(LEFT($B195,8),[1]!Table24[#Data],9,FALSE)=0,"",VLOOKUP(LEFT($B195,8),[1]!Table24[#Data],9,FALSE))</f>
        <v>X</v>
      </c>
      <c r="K195" s="12" t="s">
        <v>135</v>
      </c>
    </row>
    <row r="196" spans="1:11" x14ac:dyDescent="0.25">
      <c r="A196" s="56" t="s">
        <v>180</v>
      </c>
      <c r="B196" t="s">
        <v>31</v>
      </c>
      <c r="C196" t="str">
        <f>VLOOKUP(LEFT($B196,8),[1]!Table24[#Data],2,FALSE)</f>
        <v>Materials Science</v>
      </c>
      <c r="D196" s="48">
        <f>VLOOKUP(LEFT($B196,8),[1]!Table24[#Data],3,FALSE)</f>
        <v>3</v>
      </c>
      <c r="E196" t="str">
        <f>IF(VLOOKUP(LEFT($B196,8),[1]!Table24[#Data],4,FALSE)=0,"",VLOOKUP(LEFT($B196,8),[1]!Table24[#Data],4,FALSE))</f>
        <v>CHEM 205 (Cegep Chemistry 101)</v>
      </c>
      <c r="F196" t="str">
        <f>IF(VLOOKUP(LEFT($B196,8),[1]!Table24[#Data],5,FALSE)=0,"",VLOOKUP(LEFT($B196,8),[1]!Table24[#Data],5,FALSE))</f>
        <v/>
      </c>
      <c r="G196" s="23" t="str">
        <f>IF(VLOOKUP(LEFT($B196,8),[1]!Table24[#Data],6,FALSE)=0,"",VLOOKUP(LEFT($B196,8),[1]!Table24[#Data],6,FALSE))</f>
        <v/>
      </c>
      <c r="H196" s="23" t="str">
        <f>IF(VLOOKUP(LEFT($B196,8),[1]!Table24[#Data],7,FALSE)=0,"",VLOOKUP(LEFT($B196,8),[1]!Table24[#Data],7,FALSE))</f>
        <v/>
      </c>
      <c r="I196" s="23" t="str">
        <f>IF(VLOOKUP(LEFT($B196,8),[1]!Table24[#Data],8,FALSE)=0,"",VLOOKUP(LEFT($B196,8),[1]!Table24[#Data],8,FALSE))</f>
        <v>X</v>
      </c>
      <c r="J196" s="23" t="str">
        <f>IF(VLOOKUP(LEFT($B196,8),[1]!Table24[#Data],9,FALSE)=0,"",VLOOKUP(LEFT($B196,8),[1]!Table24[#Data],9,FALSE))</f>
        <v>X</v>
      </c>
      <c r="K196" s="12" t="s">
        <v>135</v>
      </c>
    </row>
    <row r="197" spans="1:11" x14ac:dyDescent="0.25">
      <c r="A197" s="56" t="s">
        <v>180</v>
      </c>
      <c r="B197" t="s">
        <v>197</v>
      </c>
      <c r="C197" t="s">
        <v>219</v>
      </c>
      <c r="D197" s="48">
        <v>3</v>
      </c>
      <c r="G197" s="23" t="s">
        <v>45</v>
      </c>
      <c r="H197" s="23" t="s">
        <v>45</v>
      </c>
      <c r="I197" s="23" t="s">
        <v>45</v>
      </c>
      <c r="J197" s="23" t="s">
        <v>45</v>
      </c>
      <c r="K197" s="23" t="s">
        <v>150</v>
      </c>
    </row>
    <row r="198" spans="1:11" x14ac:dyDescent="0.25">
      <c r="A198" s="56" t="s">
        <v>180</v>
      </c>
      <c r="B198" t="s">
        <v>198</v>
      </c>
      <c r="C198" t="s">
        <v>221</v>
      </c>
      <c r="D198" s="48">
        <v>3</v>
      </c>
      <c r="G198" s="23" t="s">
        <v>45</v>
      </c>
      <c r="H198" s="23" t="s">
        <v>45</v>
      </c>
      <c r="I198" s="23" t="s">
        <v>45</v>
      </c>
      <c r="J198" s="23" t="s">
        <v>45</v>
      </c>
      <c r="K198" s="23" t="s">
        <v>150</v>
      </c>
    </row>
    <row r="199" spans="1:11" x14ac:dyDescent="0.25">
      <c r="A199" s="42" t="s">
        <v>181</v>
      </c>
      <c r="B199" t="s">
        <v>199</v>
      </c>
      <c r="C199" t="str">
        <f>VLOOKUP(LEFT($B199,8),[1]!Table24[#Data],2,FALSE)</f>
        <v>Principles of Aeroelasticity</v>
      </c>
      <c r="D199" s="48">
        <f>VLOOKUP(LEFT($B199,8),[1]!Table24[#Data],3,FALSE)</f>
        <v>3.5</v>
      </c>
      <c r="E199" t="str">
        <f>IF(VLOOKUP(LEFT($B199,8),[1]!Table24[#Data],4,FALSE)=0,"",VLOOKUP(LEFT($B199,8),[1]!Table24[#Data],4,FALSE))</f>
        <v>ENGR 361; MECH 375</v>
      </c>
      <c r="F199" t="str">
        <f>IF(VLOOKUP(LEFT($B199,8),[1]!Table24[#Data],5,FALSE)=0,"",VLOOKUP(LEFT($B199,8),[1]!Table24[#Data],5,FALSE))</f>
        <v/>
      </c>
      <c r="G199" s="23" t="str">
        <f>IF(VLOOKUP(LEFT($B199,8),[1]!Table24[#Data],6,FALSE)=0,"",VLOOKUP(LEFT($B199,8),[1]!Table24[#Data],6,FALSE))</f>
        <v/>
      </c>
      <c r="H199" s="23" t="str">
        <f>IF(VLOOKUP(LEFT($B199,8),[1]!Table24[#Data],7,FALSE)=0,"",VLOOKUP(LEFT($B199,8),[1]!Table24[#Data],7,FALSE))</f>
        <v/>
      </c>
      <c r="I199" s="23" t="str">
        <f>IF(VLOOKUP(LEFT($B199,8),[1]!Table24[#Data],8,FALSE)=0,"",VLOOKUP(LEFT($B199,8),[1]!Table24[#Data],8,FALSE))</f>
        <v>X</v>
      </c>
      <c r="J199" s="23" t="str">
        <f>IF(VLOOKUP(LEFT($B199,8),[1]!Table24[#Data],9,FALSE)=0,"",VLOOKUP(LEFT($B199,8),[1]!Table24[#Data],9,FALSE))</f>
        <v/>
      </c>
      <c r="K199" s="12" t="s">
        <v>135</v>
      </c>
    </row>
    <row r="200" spans="1:11" x14ac:dyDescent="0.25">
      <c r="A200" s="42" t="s">
        <v>181</v>
      </c>
      <c r="B200" t="s">
        <v>195</v>
      </c>
      <c r="C200" t="str">
        <f>VLOOKUP(LEFT($B200,8),[1]!Table24[#Data],2,FALSE)</f>
        <v>Materials Engineering for Aerospace</v>
      </c>
      <c r="D200" s="48">
        <f>VLOOKUP(LEFT($B200,8),[1]!Table24[#Data],3,FALSE)</f>
        <v>3.5</v>
      </c>
      <c r="E200" t="str">
        <f>IF(VLOOKUP(LEFT($B200,8),[1]!Table24[#Data],4,FALSE)=0,"",VLOOKUP(LEFT($B200,8),[1]!Table24[#Data],4,FALSE))</f>
        <v>MECH 221 or MIAE</v>
      </c>
      <c r="F200" t="str">
        <f>IF(VLOOKUP(LEFT($B200,8),[1]!Table24[#Data],5,FALSE)=0,"",VLOOKUP(LEFT($B200,8),[1]!Table24[#Data],5,FALSE))</f>
        <v/>
      </c>
      <c r="G200" s="23" t="str">
        <f>IF(VLOOKUP(LEFT($B200,8),[1]!Table24[#Data],6,FALSE)=0,"",VLOOKUP(LEFT($B200,8),[1]!Table24[#Data],6,FALSE))</f>
        <v/>
      </c>
      <c r="H200" s="23" t="str">
        <f>IF(VLOOKUP(LEFT($B200,8),[1]!Table24[#Data],7,FALSE)=0,"",VLOOKUP(LEFT($B200,8),[1]!Table24[#Data],7,FALSE))</f>
        <v/>
      </c>
      <c r="I200" s="23" t="str">
        <f>IF(VLOOKUP(LEFT($B200,8),[1]!Table24[#Data],8,FALSE)=0,"",VLOOKUP(LEFT($B200,8),[1]!Table24[#Data],8,FALSE))</f>
        <v>X</v>
      </c>
      <c r="J200" s="23" t="str">
        <f>IF(VLOOKUP(LEFT($B200,8),[1]!Table24[#Data],9,FALSE)=0,"",VLOOKUP(LEFT($B200,8),[1]!Table24[#Data],9,FALSE))</f>
        <v/>
      </c>
      <c r="K200" s="12" t="s">
        <v>135</v>
      </c>
    </row>
    <row r="201" spans="1:11" x14ac:dyDescent="0.25">
      <c r="A201" s="42" t="s">
        <v>181</v>
      </c>
      <c r="B201" t="s">
        <v>200</v>
      </c>
      <c r="C201" t="str">
        <f>VLOOKUP(LEFT($B201,8),[1]!Table24[#Data],2,FALSE)</f>
        <v>Aircraft Stress Analysis</v>
      </c>
      <c r="D201" s="48">
        <f>VLOOKUP(LEFT($B201,8),[1]!Table24[#Data],3,FALSE)</f>
        <v>3</v>
      </c>
      <c r="E201" t="str">
        <f>IF(VLOOKUP(LEFT($B201,8),[1]!Table24[#Data],4,FALSE)=0,"",VLOOKUP(LEFT($B201,8),[1]!Table24[#Data],4,FALSE))</f>
        <v>ENGR 243, ENGR 244</v>
      </c>
      <c r="F201" t="str">
        <f>IF(VLOOKUP(LEFT($B201,8),[1]!Table24[#Data],5,FALSE)=0,"",VLOOKUP(LEFT($B201,8),[1]!Table24[#Data],5,FALSE))</f>
        <v/>
      </c>
      <c r="G201" s="23" t="str">
        <f>IF(VLOOKUP(LEFT($B201,8),[1]!Table24[#Data],6,FALSE)=0,"",VLOOKUP(LEFT($B201,8),[1]!Table24[#Data],6,FALSE))</f>
        <v/>
      </c>
      <c r="H201" s="23" t="str">
        <f>IF(VLOOKUP(LEFT($B201,8),[1]!Table24[#Data],7,FALSE)=0,"",VLOOKUP(LEFT($B201,8),[1]!Table24[#Data],7,FALSE))</f>
        <v/>
      </c>
      <c r="I201" s="23" t="str">
        <f>IF(VLOOKUP(LEFT($B201,8),[1]!Table24[#Data],8,FALSE)=0,"",VLOOKUP(LEFT($B201,8),[1]!Table24[#Data],8,FALSE))</f>
        <v>X</v>
      </c>
      <c r="J201" s="23" t="str">
        <f>IF(VLOOKUP(LEFT($B201,8),[1]!Table24[#Data],9,FALSE)=0,"",VLOOKUP(LEFT($B201,8),[1]!Table24[#Data],9,FALSE))</f>
        <v/>
      </c>
      <c r="K201" s="12" t="s">
        <v>135</v>
      </c>
    </row>
    <row r="202" spans="1:11" x14ac:dyDescent="0.25">
      <c r="A202" s="42" t="s">
        <v>181</v>
      </c>
      <c r="B202" t="s">
        <v>201</v>
      </c>
      <c r="C202" t="str">
        <f>VLOOKUP(LEFT($B202,8),[1]!Table24[#Data],2,FALSE)</f>
        <v>Design of Aircraft Structures</v>
      </c>
      <c r="D202" s="48">
        <f>VLOOKUP(LEFT($B202,8),[1]!Table24[#Data],3,FALSE)</f>
        <v>3</v>
      </c>
      <c r="E202" t="str">
        <f>IF(VLOOKUP(LEFT($B202,8),[1]!Table24[#Data],4,FALSE)=0,"",VLOOKUP(LEFT($B202,8),[1]!Table24[#Data],4,FALSE))</f>
        <v>AERO 486</v>
      </c>
      <c r="F202" t="str">
        <f>IF(VLOOKUP(LEFT($B202,8),[1]!Table24[#Data],5,FALSE)=0,"",VLOOKUP(LEFT($B202,8),[1]!Table24[#Data],5,FALSE))</f>
        <v/>
      </c>
      <c r="G202" s="23" t="str">
        <f>IF(VLOOKUP(LEFT($B202,8),[1]!Table24[#Data],6,FALSE)=0,"",VLOOKUP(LEFT($B202,8),[1]!Table24[#Data],6,FALSE))</f>
        <v/>
      </c>
      <c r="H202" s="23" t="str">
        <f>IF(VLOOKUP(LEFT($B202,8),[1]!Table24[#Data],7,FALSE)=0,"",VLOOKUP(LEFT($B202,8),[1]!Table24[#Data],7,FALSE))</f>
        <v/>
      </c>
      <c r="I202" s="23" t="str">
        <f>IF(VLOOKUP(LEFT($B202,8),[1]!Table24[#Data],8,FALSE)=0,"",VLOOKUP(LEFT($B202,8),[1]!Table24[#Data],8,FALSE))</f>
        <v/>
      </c>
      <c r="J202" s="23" t="str">
        <f>IF(VLOOKUP(LEFT($B202,8),[1]!Table24[#Data],9,FALSE)=0,"",VLOOKUP(LEFT($B202,8),[1]!Table24[#Data],9,FALSE))</f>
        <v>X</v>
      </c>
      <c r="K202" s="12" t="s">
        <v>135</v>
      </c>
    </row>
    <row r="203" spans="1:11" x14ac:dyDescent="0.25">
      <c r="A203" s="42" t="s">
        <v>181</v>
      </c>
      <c r="B203" t="s">
        <v>10</v>
      </c>
      <c r="C203" t="str">
        <f>VLOOKUP(LEFT($B203,8),[1]!Table24[#Data],2,FALSE)</f>
        <v>Transform Calculus and Partial Differential Equations</v>
      </c>
      <c r="D203" s="48">
        <f>VLOOKUP(LEFT($B203,8),[1]!Table24[#Data],3,FALSE)</f>
        <v>3</v>
      </c>
      <c r="E203" t="str">
        <f>IF(VLOOKUP(LEFT($B203,8),[1]!Table24[#Data],4,FALSE)=0,"",VLOOKUP(LEFT($B203,8),[1]!Table24[#Data],4,FALSE))</f>
        <v>ENGR 213, ENGR 233</v>
      </c>
      <c r="F203" t="str">
        <f>IF(VLOOKUP(LEFT($B203,8),[1]!Table24[#Data],5,FALSE)=0,"",VLOOKUP(LEFT($B203,8),[1]!Table24[#Data],5,FALSE))</f>
        <v/>
      </c>
      <c r="G203" s="23" t="str">
        <f>IF(VLOOKUP(LEFT($B203,8),[1]!Table24[#Data],6,FALSE)=0,"",VLOOKUP(LEFT($B203,8),[1]!Table24[#Data],6,FALSE))</f>
        <v>X</v>
      </c>
      <c r="H203" s="23" t="str">
        <f>IF(VLOOKUP(LEFT($B203,8),[1]!Table24[#Data],7,FALSE)=0,"",VLOOKUP(LEFT($B203,8),[1]!Table24[#Data],7,FALSE))</f>
        <v>X</v>
      </c>
      <c r="I203" s="23" t="str">
        <f>IF(VLOOKUP(LEFT($B203,8),[1]!Table24[#Data],8,FALSE)=0,"",VLOOKUP(LEFT($B203,8),[1]!Table24[#Data],8,FALSE))</f>
        <v>X</v>
      </c>
      <c r="J203" s="23" t="str">
        <f>IF(VLOOKUP(LEFT($B203,8),[1]!Table24[#Data],9,FALSE)=0,"",VLOOKUP(LEFT($B203,8),[1]!Table24[#Data],9,FALSE))</f>
        <v>X</v>
      </c>
      <c r="K203" s="12" t="s">
        <v>135</v>
      </c>
    </row>
    <row r="204" spans="1:11" x14ac:dyDescent="0.25">
      <c r="A204" s="42" t="s">
        <v>181</v>
      </c>
      <c r="B204" t="s">
        <v>19</v>
      </c>
      <c r="C204" t="str">
        <f>VLOOKUP(LEFT($B204,8),[1]!Table24[#Data],2,FALSE)</f>
        <v>Theory of Machines</v>
      </c>
      <c r="D204" s="48">
        <f>VLOOKUP(LEFT($B204,8),[1]!Table24[#Data],3,FALSE)</f>
        <v>3.5</v>
      </c>
      <c r="E204" t="str">
        <f>IF(VLOOKUP(LEFT($B204,8),[1]!Table24[#Data],4,FALSE)=0,"",VLOOKUP(LEFT($B204,8),[1]!Table24[#Data],4,FALSE))</f>
        <v>ENGR 213, ENGR 233, ENGR 243</v>
      </c>
      <c r="F204" t="str">
        <f>IF(VLOOKUP(LEFT($B204,8),[1]!Table24[#Data],5,FALSE)=0,"",VLOOKUP(LEFT($B204,8),[1]!Table24[#Data],5,FALSE))</f>
        <v/>
      </c>
      <c r="G204" s="23" t="str">
        <f>IF(VLOOKUP(LEFT($B204,8),[1]!Table24[#Data],6,FALSE)=0,"",VLOOKUP(LEFT($B204,8),[1]!Table24[#Data],6,FALSE))</f>
        <v/>
      </c>
      <c r="H204" s="23" t="str">
        <f>IF(VLOOKUP(LEFT($B204,8),[1]!Table24[#Data],7,FALSE)=0,"",VLOOKUP(LEFT($B204,8),[1]!Table24[#Data],7,FALSE))</f>
        <v/>
      </c>
      <c r="I204" s="23" t="str">
        <f>IF(VLOOKUP(LEFT($B204,8),[1]!Table24[#Data],8,FALSE)=0,"",VLOOKUP(LEFT($B204,8),[1]!Table24[#Data],8,FALSE))</f>
        <v>X</v>
      </c>
      <c r="J204" s="23" t="str">
        <f>IF(VLOOKUP(LEFT($B204,8),[1]!Table24[#Data],9,FALSE)=0,"",VLOOKUP(LEFT($B204,8),[1]!Table24[#Data],9,FALSE))</f>
        <v>X</v>
      </c>
      <c r="K204" s="12" t="s">
        <v>135</v>
      </c>
    </row>
    <row r="205" spans="1:11" x14ac:dyDescent="0.25">
      <c r="A205" s="42" t="s">
        <v>181</v>
      </c>
      <c r="B205" t="s">
        <v>22</v>
      </c>
      <c r="C205" t="str">
        <f>VLOOKUP(LEFT($B205,8),[1]!Table24[#Data],2,FALSE)</f>
        <v>Heat Transfer I</v>
      </c>
      <c r="D205" s="48">
        <f>VLOOKUP(LEFT($B205,8),[1]!Table24[#Data],3,FALSE)</f>
        <v>3.5</v>
      </c>
      <c r="E205" t="str">
        <f>IF(VLOOKUP(LEFT($B205,8),[1]!Table24[#Data],4,FALSE)=0,"",VLOOKUP(LEFT($B205,8),[1]!Table24[#Data],4,FALSE))</f>
        <v>ENGR 311, ENGR 361</v>
      </c>
      <c r="F205" t="str">
        <f>IF(VLOOKUP(LEFT($B205,8),[1]!Table24[#Data],5,FALSE)=0,"",VLOOKUP(LEFT($B205,8),[1]!Table24[#Data],5,FALSE))</f>
        <v/>
      </c>
      <c r="G205" s="23" t="str">
        <f>IF(VLOOKUP(LEFT($B205,8),[1]!Table24[#Data],6,FALSE)=0,"",VLOOKUP(LEFT($B205,8),[1]!Table24[#Data],6,FALSE))</f>
        <v/>
      </c>
      <c r="H205" s="23" t="str">
        <f>IF(VLOOKUP(LEFT($B205,8),[1]!Table24[#Data],7,FALSE)=0,"",VLOOKUP(LEFT($B205,8),[1]!Table24[#Data],7,FALSE))</f>
        <v/>
      </c>
      <c r="I205" s="23" t="str">
        <f>IF(VLOOKUP(LEFT($B205,8),[1]!Table24[#Data],8,FALSE)=0,"",VLOOKUP(LEFT($B205,8),[1]!Table24[#Data],8,FALSE))</f>
        <v>X</v>
      </c>
      <c r="J205" s="23" t="str">
        <f>IF(VLOOKUP(LEFT($B205,8),[1]!Table24[#Data],9,FALSE)=0,"",VLOOKUP(LEFT($B205,8),[1]!Table24[#Data],9,FALSE))</f>
        <v>X</v>
      </c>
      <c r="K205" s="12" t="s">
        <v>135</v>
      </c>
    </row>
    <row r="206" spans="1:11" x14ac:dyDescent="0.25">
      <c r="A206" s="42" t="s">
        <v>181</v>
      </c>
      <c r="B206" t="s">
        <v>26</v>
      </c>
      <c r="C206" t="str">
        <f>VLOOKUP(LEFT($B206,8),[1]!Table24[#Data],2,FALSE)</f>
        <v>Instrumentation and Measurements</v>
      </c>
      <c r="D206" s="48">
        <f>VLOOKUP(LEFT($B206,8),[1]!Table24[#Data],3,FALSE)</f>
        <v>3.5</v>
      </c>
      <c r="E206" t="str">
        <f>IF(VLOOKUP(LEFT($B206,8),[1]!Table24[#Data],4,FALSE)=0,"",VLOOKUP(LEFT($B206,8),[1]!Table24[#Data],4,FALSE))</f>
        <v>ENGR 311; AERO 371 or MECH 370 or MECH 371</v>
      </c>
      <c r="F206" t="str">
        <f>IF(VLOOKUP(LEFT($B206,8),[1]!Table24[#Data],5,FALSE)=0,"",VLOOKUP(LEFT($B206,8),[1]!Table24[#Data],5,FALSE))</f>
        <v/>
      </c>
      <c r="G206" s="23" t="str">
        <f>IF(VLOOKUP(LEFT($B206,8),[1]!Table24[#Data],6,FALSE)=0,"",VLOOKUP(LEFT($B206,8),[1]!Table24[#Data],6,FALSE))</f>
        <v/>
      </c>
      <c r="H206" s="23" t="str">
        <f>IF(VLOOKUP(LEFT($B206,8),[1]!Table24[#Data],7,FALSE)=0,"",VLOOKUP(LEFT($B206,8),[1]!Table24[#Data],7,FALSE))</f>
        <v/>
      </c>
      <c r="I206" s="23" t="str">
        <f>IF(VLOOKUP(LEFT($B206,8),[1]!Table24[#Data],8,FALSE)=0,"",VLOOKUP(LEFT($B206,8),[1]!Table24[#Data],8,FALSE))</f>
        <v>X</v>
      </c>
      <c r="J206" s="23" t="str">
        <f>IF(VLOOKUP(LEFT($B206,8),[1]!Table24[#Data],9,FALSE)=0,"",VLOOKUP(LEFT($B206,8),[1]!Table24[#Data],9,FALSE))</f>
        <v/>
      </c>
      <c r="K206" s="12" t="s">
        <v>135</v>
      </c>
    </row>
    <row r="207" spans="1:11" x14ac:dyDescent="0.25">
      <c r="A207" s="42" t="s">
        <v>181</v>
      </c>
      <c r="B207" t="s">
        <v>27</v>
      </c>
      <c r="C207" t="str">
        <f>VLOOKUP(LEFT($B207,8),[1]!Table24[#Data],2,FALSE)</f>
        <v>Mechanical Vibrations</v>
      </c>
      <c r="D207" s="48">
        <f>VLOOKUP(LEFT($B207,8),[1]!Table24[#Data],3,FALSE)</f>
        <v>3.5</v>
      </c>
      <c r="E207" t="str">
        <f>IF(VLOOKUP(LEFT($B207,8),[1]!Table24[#Data],4,FALSE)=0,"",VLOOKUP(LEFT($B207,8),[1]!Table24[#Data],4,FALSE))</f>
        <v>AERO 371 or MECH 370 or MECH 371</v>
      </c>
      <c r="F207" t="str">
        <f>IF(VLOOKUP(LEFT($B207,8),[1]!Table24[#Data],5,FALSE)=0,"",VLOOKUP(LEFT($B207,8),[1]!Table24[#Data],5,FALSE))</f>
        <v/>
      </c>
      <c r="G207" s="23" t="str">
        <f>IF(VLOOKUP(LEFT($B207,8),[1]!Table24[#Data],6,FALSE)=0,"",VLOOKUP(LEFT($B207,8),[1]!Table24[#Data],6,FALSE))</f>
        <v/>
      </c>
      <c r="H207" s="23" t="str">
        <f>IF(VLOOKUP(LEFT($B207,8),[1]!Table24[#Data],7,FALSE)=0,"",VLOOKUP(LEFT($B207,8),[1]!Table24[#Data],7,FALSE))</f>
        <v>X</v>
      </c>
      <c r="I207" s="23" t="str">
        <f>IF(VLOOKUP(LEFT($B207,8),[1]!Table24[#Data],8,FALSE)=0,"",VLOOKUP(LEFT($B207,8),[1]!Table24[#Data],8,FALSE))</f>
        <v>X</v>
      </c>
      <c r="J207" s="23" t="str">
        <f>IF(VLOOKUP(LEFT($B207,8),[1]!Table24[#Data],9,FALSE)=0,"",VLOOKUP(LEFT($B207,8),[1]!Table24[#Data],9,FALSE))</f>
        <v>X</v>
      </c>
      <c r="K207" s="12" t="s">
        <v>135</v>
      </c>
    </row>
    <row r="208" spans="1:11" x14ac:dyDescent="0.25">
      <c r="A208" s="42" t="s">
        <v>181</v>
      </c>
      <c r="B208" t="s">
        <v>202</v>
      </c>
      <c r="C208" t="str">
        <f>VLOOKUP(LEFT($B208,8),[1]!Table24[#Data],2,FALSE)</f>
        <v>Computer‑Aided Mechanical Design</v>
      </c>
      <c r="D208" s="48">
        <f>VLOOKUP(LEFT($B208,8),[1]!Table24[#Data],3,FALSE)</f>
        <v>3.5</v>
      </c>
      <c r="E208" t="str">
        <f>IF(VLOOKUP(LEFT($B208,8),[1]!Table24[#Data],4,FALSE)=0,"",VLOOKUP(LEFT($B208,8),[1]!Table24[#Data],4,FALSE))</f>
        <v>MIAE 311</v>
      </c>
      <c r="F208" t="str">
        <f>IF(VLOOKUP(LEFT($B208,8),[1]!Table24[#Data],5,FALSE)=0,"",VLOOKUP(LEFT($B208,8),[1]!Table24[#Data],5,FALSE))</f>
        <v/>
      </c>
      <c r="G208" s="23" t="str">
        <f>IF(VLOOKUP(LEFT($B208,8),[1]!Table24[#Data],6,FALSE)=0,"",VLOOKUP(LEFT($B208,8),[1]!Table24[#Data],6,FALSE))</f>
        <v/>
      </c>
      <c r="H208" s="23" t="str">
        <f>IF(VLOOKUP(LEFT($B208,8),[1]!Table24[#Data],7,FALSE)=0,"",VLOOKUP(LEFT($B208,8),[1]!Table24[#Data],7,FALSE))</f>
        <v/>
      </c>
      <c r="I208" s="23" t="str">
        <f>IF(VLOOKUP(LEFT($B208,8),[1]!Table24[#Data],8,FALSE)=0,"",VLOOKUP(LEFT($B208,8),[1]!Table24[#Data],8,FALSE))</f>
        <v>X</v>
      </c>
      <c r="J208" s="23" t="str">
        <f>IF(VLOOKUP(LEFT($B208,8),[1]!Table24[#Data],9,FALSE)=0,"",VLOOKUP(LEFT($B208,8),[1]!Table24[#Data],9,FALSE))</f>
        <v/>
      </c>
      <c r="K208" s="12" t="s">
        <v>135</v>
      </c>
    </row>
    <row r="209" spans="1:11" x14ac:dyDescent="0.25">
      <c r="A209" s="42" t="s">
        <v>181</v>
      </c>
      <c r="B209" t="s">
        <v>203</v>
      </c>
      <c r="C209" t="str">
        <f>VLOOKUP(LEFT($B209,8),[1]!Table24[#Data],2,FALSE)</f>
        <v>Finite Element Analysis</v>
      </c>
      <c r="D209" s="48">
        <f>VLOOKUP(LEFT($B209,8),[1]!Table24[#Data],3,FALSE)</f>
        <v>3.75</v>
      </c>
      <c r="E209" t="str">
        <f>IF(VLOOKUP(LEFT($B209,8),[1]!Table24[#Data],4,FALSE)=0,"",VLOOKUP(LEFT($B209,8),[1]!Table24[#Data],4,FALSE))</f>
        <v>ENGR 244, ENGR 391</v>
      </c>
      <c r="F209" t="str">
        <f>IF(VLOOKUP(LEFT($B209,8),[1]!Table24[#Data],5,FALSE)=0,"",VLOOKUP(LEFT($B209,8),[1]!Table24[#Data],5,FALSE))</f>
        <v/>
      </c>
      <c r="G209" s="23" t="str">
        <f>IF(VLOOKUP(LEFT($B209,8),[1]!Table24[#Data],6,FALSE)=0,"",VLOOKUP(LEFT($B209,8),[1]!Table24[#Data],6,FALSE))</f>
        <v/>
      </c>
      <c r="H209" s="23" t="str">
        <f>IF(VLOOKUP(LEFT($B209,8),[1]!Table24[#Data],7,FALSE)=0,"",VLOOKUP(LEFT($B209,8),[1]!Table24[#Data],7,FALSE))</f>
        <v/>
      </c>
      <c r="I209" s="23" t="str">
        <f>IF(VLOOKUP(LEFT($B209,8),[1]!Table24[#Data],8,FALSE)=0,"",VLOOKUP(LEFT($B209,8),[1]!Table24[#Data],8,FALSE))</f>
        <v/>
      </c>
      <c r="J209" s="23" t="str">
        <f>IF(VLOOKUP(LEFT($B209,8),[1]!Table24[#Data],9,FALSE)=0,"",VLOOKUP(LEFT($B209,8),[1]!Table24[#Data],9,FALSE))</f>
        <v>X</v>
      </c>
      <c r="K209" s="12" t="s">
        <v>135</v>
      </c>
    </row>
    <row r="210" spans="1:11" x14ac:dyDescent="0.25">
      <c r="A210" s="42" t="s">
        <v>181</v>
      </c>
      <c r="B210" t="s">
        <v>29</v>
      </c>
      <c r="C210" t="str">
        <f>VLOOKUP(LEFT($B210,8),[1]!Table24[#Data],2,FALSE)</f>
        <v>Mechanical Engineering Drawing</v>
      </c>
      <c r="D210" s="48">
        <f>VLOOKUP(LEFT($B210,8),[1]!Table24[#Data],3,FALSE)</f>
        <v>3.5</v>
      </c>
      <c r="E210" t="str">
        <f>IF(VLOOKUP(LEFT($B210,8),[1]!Table24[#Data],4,FALSE)=0,"",VLOOKUP(LEFT($B210,8),[1]!Table24[#Data],4,FALSE))</f>
        <v/>
      </c>
      <c r="F210" t="str">
        <f>IF(VLOOKUP(LEFT($B210,8),[1]!Table24[#Data],5,FALSE)=0,"",VLOOKUP(LEFT($B210,8),[1]!Table24[#Data],5,FALSE))</f>
        <v/>
      </c>
      <c r="G210" s="23" t="str">
        <f>IF(VLOOKUP(LEFT($B210,8),[1]!Table24[#Data],6,FALSE)=0,"",VLOOKUP(LEFT($B210,8),[1]!Table24[#Data],6,FALSE))</f>
        <v>X</v>
      </c>
      <c r="H210" s="23" t="str">
        <f>IF(VLOOKUP(LEFT($B210,8),[1]!Table24[#Data],7,FALSE)=0,"",VLOOKUP(LEFT($B210,8),[1]!Table24[#Data],7,FALSE))</f>
        <v/>
      </c>
      <c r="I210" s="23" t="str">
        <f>IF(VLOOKUP(LEFT($B210,8),[1]!Table24[#Data],8,FALSE)=0,"",VLOOKUP(LEFT($B210,8),[1]!Table24[#Data],8,FALSE))</f>
        <v>X</v>
      </c>
      <c r="J210" s="23" t="str">
        <f>IF(VLOOKUP(LEFT($B210,8),[1]!Table24[#Data],9,FALSE)=0,"",VLOOKUP(LEFT($B210,8),[1]!Table24[#Data],9,FALSE))</f>
        <v>X</v>
      </c>
      <c r="K210" s="12" t="s">
        <v>135</v>
      </c>
    </row>
    <row r="211" spans="1:11" x14ac:dyDescent="0.25">
      <c r="A211" s="42" t="s">
        <v>181</v>
      </c>
      <c r="B211" t="s">
        <v>31</v>
      </c>
      <c r="C211" t="str">
        <f>VLOOKUP(LEFT($B211,8),[1]!Table24[#Data],2,FALSE)</f>
        <v>Materials Science</v>
      </c>
      <c r="D211" s="48">
        <f>VLOOKUP(LEFT($B211,8),[1]!Table24[#Data],3,FALSE)</f>
        <v>3</v>
      </c>
      <c r="E211" t="str">
        <f>IF(VLOOKUP(LEFT($B211,8),[1]!Table24[#Data],4,FALSE)=0,"",VLOOKUP(LEFT($B211,8),[1]!Table24[#Data],4,FALSE))</f>
        <v>CHEM 205 (Cegep Chemistry 101)</v>
      </c>
      <c r="F211" t="str">
        <f>IF(VLOOKUP(LEFT($B211,8),[1]!Table24[#Data],5,FALSE)=0,"",VLOOKUP(LEFT($B211,8),[1]!Table24[#Data],5,FALSE))</f>
        <v/>
      </c>
      <c r="G211" s="23" t="str">
        <f>IF(VLOOKUP(LEFT($B211,8),[1]!Table24[#Data],6,FALSE)=0,"",VLOOKUP(LEFT($B211,8),[1]!Table24[#Data],6,FALSE))</f>
        <v/>
      </c>
      <c r="H211" s="23" t="str">
        <f>IF(VLOOKUP(LEFT($B211,8),[1]!Table24[#Data],7,FALSE)=0,"",VLOOKUP(LEFT($B211,8),[1]!Table24[#Data],7,FALSE))</f>
        <v/>
      </c>
      <c r="I211" s="23" t="str">
        <f>IF(VLOOKUP(LEFT($B211,8),[1]!Table24[#Data],8,FALSE)=0,"",VLOOKUP(LEFT($B211,8),[1]!Table24[#Data],8,FALSE))</f>
        <v>X</v>
      </c>
      <c r="J211" s="23" t="str">
        <f>IF(VLOOKUP(LEFT($B211,8),[1]!Table24[#Data],9,FALSE)=0,"",VLOOKUP(LEFT($B211,8),[1]!Table24[#Data],9,FALSE))</f>
        <v>X</v>
      </c>
      <c r="K211" s="12" t="s">
        <v>135</v>
      </c>
    </row>
    <row r="212" spans="1:11" x14ac:dyDescent="0.25">
      <c r="A212" s="42" t="s">
        <v>181</v>
      </c>
      <c r="B212" t="s">
        <v>30</v>
      </c>
      <c r="C212" t="str">
        <f>VLOOKUP(LEFT($B212,8),[1]!Table24[#Data],2,FALSE)</f>
        <v>Programming for Mechanical, Industrial and Aerospace Engineers</v>
      </c>
      <c r="D212" s="48">
        <f>VLOOKUP(LEFT($B212,8),[1]!Table24[#Data],3,FALSE)</f>
        <v>3.5</v>
      </c>
      <c r="E212" t="str">
        <f>IF(VLOOKUP(LEFT($B212,8),[1]!Table24[#Data],4,FALSE)=0,"",VLOOKUP(LEFT($B212,8),[1]!Table24[#Data],4,FALSE))</f>
        <v>MATH 204 (Cegep mathematics 105)</v>
      </c>
      <c r="F212" t="str">
        <f>IF(VLOOKUP(LEFT($B212,8),[1]!Table24[#Data],5,FALSE)=0,"",VLOOKUP(LEFT($B212,8),[1]!Table24[#Data],5,FALSE))</f>
        <v/>
      </c>
      <c r="G212" s="23" t="str">
        <f>IF(VLOOKUP(LEFT($B212,8),[1]!Table24[#Data],6,FALSE)=0,"",VLOOKUP(LEFT($B212,8),[1]!Table24[#Data],6,FALSE))</f>
        <v/>
      </c>
      <c r="H212" s="23" t="str">
        <f>IF(VLOOKUP(LEFT($B212,8),[1]!Table24[#Data],7,FALSE)=0,"",VLOOKUP(LEFT($B212,8),[1]!Table24[#Data],7,FALSE))</f>
        <v>X</v>
      </c>
      <c r="I212" s="23" t="str">
        <f>IF(VLOOKUP(LEFT($B212,8),[1]!Table24[#Data],8,FALSE)=0,"",VLOOKUP(LEFT($B212,8),[1]!Table24[#Data],8,FALSE))</f>
        <v>X</v>
      </c>
      <c r="J212" s="23" t="str">
        <f>IF(VLOOKUP(LEFT($B212,8),[1]!Table24[#Data],9,FALSE)=0,"",VLOOKUP(LEFT($B212,8),[1]!Table24[#Data],9,FALSE))</f>
        <v>X</v>
      </c>
      <c r="K212" s="12" t="s">
        <v>135</v>
      </c>
    </row>
    <row r="213" spans="1:11" x14ac:dyDescent="0.25">
      <c r="A213" s="42" t="s">
        <v>181</v>
      </c>
      <c r="B213" t="s">
        <v>32</v>
      </c>
      <c r="C213" t="str">
        <f>VLOOKUP(LEFT($B213,8),[1]!Table24[#Data],2,FALSE)</f>
        <v>Manufacturing Processes</v>
      </c>
      <c r="D213" s="48">
        <f>VLOOKUP(LEFT($B213,8),[1]!Table24[#Data],3,FALSE)</f>
        <v>3</v>
      </c>
      <c r="E213" t="str">
        <f>IF(VLOOKUP(LEFT($B213,8),[1]!Table24[#Data],4,FALSE)=0,"",VLOOKUP(LEFT($B213,8),[1]!Table24[#Data],4,FALSE))</f>
        <v>MECH 313 or MIAE 313</v>
      </c>
      <c r="F213" t="str">
        <f>IF(VLOOKUP(LEFT($B213,8),[1]!Table24[#Data],5,FALSE)=0,"",VLOOKUP(LEFT($B213,8),[1]!Table24[#Data],5,FALSE))</f>
        <v/>
      </c>
      <c r="G213" s="23" t="str">
        <f>IF(VLOOKUP(LEFT($B213,8),[1]!Table24[#Data],6,FALSE)=0,"",VLOOKUP(LEFT($B213,8),[1]!Table24[#Data],6,FALSE))</f>
        <v>X</v>
      </c>
      <c r="H213" s="23" t="str">
        <f>IF(VLOOKUP(LEFT($B213,8),[1]!Table24[#Data],7,FALSE)=0,"",VLOOKUP(LEFT($B213,8),[1]!Table24[#Data],7,FALSE))</f>
        <v/>
      </c>
      <c r="I213" s="23" t="str">
        <f>IF(VLOOKUP(LEFT($B213,8),[1]!Table24[#Data],8,FALSE)=0,"",VLOOKUP(LEFT($B213,8),[1]!Table24[#Data],8,FALSE))</f>
        <v>X</v>
      </c>
      <c r="J213" s="23" t="str">
        <f>IF(VLOOKUP(LEFT($B213,8),[1]!Table24[#Data],9,FALSE)=0,"",VLOOKUP(LEFT($B213,8),[1]!Table24[#Data],9,FALSE))</f>
        <v/>
      </c>
      <c r="K213" s="12" t="s">
        <v>135</v>
      </c>
    </row>
    <row r="214" spans="1:11" x14ac:dyDescent="0.25">
      <c r="A214" s="42" t="s">
        <v>181</v>
      </c>
      <c r="B214" t="s">
        <v>76</v>
      </c>
      <c r="C214" t="str">
        <f>VLOOKUP(LEFT($B214,8),[1]!Table24[#Data],2,FALSE)</f>
        <v>Engineering Design and Manufacturing Processes Lab</v>
      </c>
      <c r="D214" s="48">
        <f>VLOOKUP(LEFT($B214,8),[1]!Table24[#Data],3,FALSE)</f>
        <v>1</v>
      </c>
      <c r="E214" t="str">
        <f>IF(VLOOKUP(LEFT($B214,8),[1]!Table24[#Data],4,FALSE)=0,"",VLOOKUP(LEFT($B214,8),[1]!Table24[#Data],4,FALSE))</f>
        <v/>
      </c>
      <c r="F214" t="str">
        <f>IF(VLOOKUP(LEFT($B214,8),[1]!Table24[#Data],5,FALSE)=0,"",VLOOKUP(LEFT($B214,8),[1]!Table24[#Data],5,FALSE))</f>
        <v>MIAE 311</v>
      </c>
      <c r="G214" s="23" t="str">
        <f>IF(VLOOKUP(LEFT($B214,8),[1]!Table24[#Data],6,FALSE)=0,"",VLOOKUP(LEFT($B214,8),[1]!Table24[#Data],6,FALSE))</f>
        <v>X**</v>
      </c>
      <c r="H214" s="23" t="str">
        <f>IF(VLOOKUP(LEFT($B214,8),[1]!Table24[#Data],7,FALSE)=0,"",VLOOKUP(LEFT($B214,8),[1]!Table24[#Data],7,FALSE))</f>
        <v/>
      </c>
      <c r="I214" s="23" t="str">
        <f>IF(VLOOKUP(LEFT($B214,8),[1]!Table24[#Data],8,FALSE)=0,"",VLOOKUP(LEFT($B214,8),[1]!Table24[#Data],8,FALSE))</f>
        <v>X</v>
      </c>
      <c r="J214" s="23" t="str">
        <f>IF(VLOOKUP(LEFT($B214,8),[1]!Table24[#Data],9,FALSE)=0,"",VLOOKUP(LEFT($B214,8),[1]!Table24[#Data],9,FALSE))</f>
        <v/>
      </c>
      <c r="K214" s="12" t="s">
        <v>135</v>
      </c>
    </row>
    <row r="215" spans="1:11" x14ac:dyDescent="0.25">
      <c r="A215" s="42" t="s">
        <v>181</v>
      </c>
      <c r="B215" t="s">
        <v>33</v>
      </c>
      <c r="C215" t="str">
        <f>VLOOKUP(LEFT($B215,8),[1]!Table24[#Data],2,FALSE)</f>
        <v>Machine Drawing and Design</v>
      </c>
      <c r="D215" s="48">
        <f>VLOOKUP(LEFT($B215,8),[1]!Table24[#Data],3,FALSE)</f>
        <v>3.5</v>
      </c>
      <c r="E215" t="str">
        <f>IF(VLOOKUP(LEFT($B215,8),[1]!Table24[#Data],4,FALSE)=0,"",VLOOKUP(LEFT($B215,8),[1]!Table24[#Data],4,FALSE))</f>
        <v>MECH 211 or MIAE 211</v>
      </c>
      <c r="F215" t="str">
        <f>IF(VLOOKUP(LEFT($B215,8),[1]!Table24[#Data],5,FALSE)=0,"",VLOOKUP(LEFT($B215,8),[1]!Table24[#Data],5,FALSE))</f>
        <v/>
      </c>
      <c r="G215" s="23" t="str">
        <f>IF(VLOOKUP(LEFT($B215,8),[1]!Table24[#Data],6,FALSE)=0,"",VLOOKUP(LEFT($B215,8),[1]!Table24[#Data],6,FALSE))</f>
        <v/>
      </c>
      <c r="H215" s="23" t="str">
        <f>IF(VLOOKUP(LEFT($B215,8),[1]!Table24[#Data],7,FALSE)=0,"",VLOOKUP(LEFT($B215,8),[1]!Table24[#Data],7,FALSE))</f>
        <v>X</v>
      </c>
      <c r="I215" s="23" t="str">
        <f>IF(VLOOKUP(LEFT($B215,8),[1]!Table24[#Data],8,FALSE)=0,"",VLOOKUP(LEFT($B215,8),[1]!Table24[#Data],8,FALSE))</f>
        <v>X</v>
      </c>
      <c r="J215" s="23" t="str">
        <f>IF(VLOOKUP(LEFT($B215,8),[1]!Table24[#Data],9,FALSE)=0,"",VLOOKUP(LEFT($B215,8),[1]!Table24[#Data],9,FALSE))</f>
        <v>X</v>
      </c>
      <c r="K215" s="12" t="s">
        <v>135</v>
      </c>
    </row>
    <row r="216" spans="1:11" x14ac:dyDescent="0.25">
      <c r="A216" s="46" t="s">
        <v>182</v>
      </c>
      <c r="B216" t="s">
        <v>204</v>
      </c>
      <c r="C216" t="str">
        <f>VLOOKUP(LEFT($B216,8),[1]!Table24[#Data],2,FALSE)</f>
        <v>Avionic Navigation Systems</v>
      </c>
      <c r="D216" s="48">
        <f>VLOOKUP(LEFT($B216,8),[1]!Table24[#Data],3,FALSE)</f>
        <v>3</v>
      </c>
      <c r="E216" t="str">
        <f>IF(VLOOKUP(LEFT($B216,8),[1]!Table24[#Data],4,FALSE)=0,"",VLOOKUP(LEFT($B216,8),[1]!Table24[#Data],4,FALSE))</f>
        <v>ENGR 371 or COMP 233; AERO 371 or ELEC 372 or MECH 371 or SOEN 385</v>
      </c>
      <c r="F216" t="str">
        <f>IF(VLOOKUP(LEFT($B216,8),[1]!Table24[#Data],5,FALSE)=0,"",VLOOKUP(LEFT($B216,8),[1]!Table24[#Data],5,FALSE))</f>
        <v/>
      </c>
      <c r="G216" s="23" t="str">
        <f>IF(VLOOKUP(LEFT($B216,8),[1]!Table24[#Data],6,FALSE)=0,"",VLOOKUP(LEFT($B216,8),[1]!Table24[#Data],6,FALSE))</f>
        <v/>
      </c>
      <c r="H216" s="23" t="str">
        <f>IF(VLOOKUP(LEFT($B216,8),[1]!Table24[#Data],7,FALSE)=0,"",VLOOKUP(LEFT($B216,8),[1]!Table24[#Data],7,FALSE))</f>
        <v/>
      </c>
      <c r="I216" s="23" t="str">
        <f>IF(VLOOKUP(LEFT($B216,8),[1]!Table24[#Data],8,FALSE)=0,"",VLOOKUP(LEFT($B216,8),[1]!Table24[#Data],8,FALSE))</f>
        <v>X</v>
      </c>
      <c r="J216" s="23" t="str">
        <f>IF(VLOOKUP(LEFT($B216,8),[1]!Table24[#Data],9,FALSE)=0,"",VLOOKUP(LEFT($B216,8),[1]!Table24[#Data],9,FALSE))</f>
        <v/>
      </c>
      <c r="K216" s="12" t="s">
        <v>135</v>
      </c>
    </row>
    <row r="217" spans="1:11" x14ac:dyDescent="0.25">
      <c r="A217" s="46" t="s">
        <v>182</v>
      </c>
      <c r="B217" t="s">
        <v>205</v>
      </c>
      <c r="C217" t="str">
        <f>VLOOKUP(LEFT($B217,8),[1]!Table24[#Data],2,FALSE)</f>
        <v>Integration of Avionics Systems</v>
      </c>
      <c r="D217" s="48">
        <f>VLOOKUP(LEFT($B217,8),[1]!Table24[#Data],3,FALSE)</f>
        <v>3</v>
      </c>
      <c r="E217" t="str">
        <f>IF(VLOOKUP(LEFT($B217,8),[1]!Table24[#Data],4,FALSE)=0,"",VLOOKUP(LEFT($B217,8),[1]!Table24[#Data],4,FALSE))</f>
        <v>AERO 482; ELEC 481</v>
      </c>
      <c r="F217" t="str">
        <f>IF(VLOOKUP(LEFT($B217,8),[1]!Table24[#Data],5,FALSE)=0,"",VLOOKUP(LEFT($B217,8),[1]!Table24[#Data],5,FALSE))</f>
        <v/>
      </c>
      <c r="G217" s="23" t="str">
        <f>IF(VLOOKUP(LEFT($B217,8),[1]!Table24[#Data],6,FALSE)=0,"",VLOOKUP(LEFT($B217,8),[1]!Table24[#Data],6,FALSE))</f>
        <v/>
      </c>
      <c r="H217" s="23" t="str">
        <f>IF(VLOOKUP(LEFT($B217,8),[1]!Table24[#Data],7,FALSE)=0,"",VLOOKUP(LEFT($B217,8),[1]!Table24[#Data],7,FALSE))</f>
        <v/>
      </c>
      <c r="I217" s="23" t="str">
        <f>IF(VLOOKUP(LEFT($B217,8),[1]!Table24[#Data],8,FALSE)=0,"",VLOOKUP(LEFT($B217,8),[1]!Table24[#Data],8,FALSE))</f>
        <v/>
      </c>
      <c r="J217" s="23" t="str">
        <f>IF(VLOOKUP(LEFT($B217,8),[1]!Table24[#Data],9,FALSE)=0,"",VLOOKUP(LEFT($B217,8),[1]!Table24[#Data],9,FALSE))</f>
        <v>X</v>
      </c>
      <c r="K217" s="12" t="s">
        <v>135</v>
      </c>
    </row>
    <row r="218" spans="1:11" x14ac:dyDescent="0.25">
      <c r="A218" s="46" t="s">
        <v>182</v>
      </c>
      <c r="B218" t="s">
        <v>206</v>
      </c>
      <c r="C218" t="str">
        <f>VLOOKUP(LEFT($B218,8),[1]!Table24[#Data],2,FALSE)</f>
        <v>Digital Systems Design I</v>
      </c>
      <c r="D218" s="48">
        <f>VLOOKUP(LEFT($B218,8),[1]!Table24[#Data],3,FALSE)</f>
        <v>3.5</v>
      </c>
      <c r="E218" t="str">
        <f>IF(VLOOKUP(LEFT($B218,8),[1]!Table24[#Data],4,FALSE)=0,"",VLOOKUP(LEFT($B218,8),[1]!Table24[#Data],4,FALSE))</f>
        <v>MATH 204 (Cegep Mathematics 105)</v>
      </c>
      <c r="F218" t="str">
        <f>IF(VLOOKUP(LEFT($B218,8),[1]!Table24[#Data],5,FALSE)=0,"",VLOOKUP(LEFT($B218,8),[1]!Table24[#Data],5,FALSE))</f>
        <v/>
      </c>
      <c r="G218" s="23" t="str">
        <f>IF(VLOOKUP(LEFT($B218,8),[1]!Table24[#Data],6,FALSE)=0,"",VLOOKUP(LEFT($B218,8),[1]!Table24[#Data],6,FALSE))</f>
        <v/>
      </c>
      <c r="H218" s="23" t="str">
        <f>IF(VLOOKUP(LEFT($B218,8),[1]!Table24[#Data],7,FALSE)=0,"",VLOOKUP(LEFT($B218,8),[1]!Table24[#Data],7,FALSE))</f>
        <v>X</v>
      </c>
      <c r="I218" s="23" t="str">
        <f>IF(VLOOKUP(LEFT($B218,8),[1]!Table24[#Data],8,FALSE)=0,"",VLOOKUP(LEFT($B218,8),[1]!Table24[#Data],8,FALSE))</f>
        <v>X</v>
      </c>
      <c r="J218" s="23" t="str">
        <f>IF(VLOOKUP(LEFT($B218,8),[1]!Table24[#Data],9,FALSE)=0,"",VLOOKUP(LEFT($B218,8),[1]!Table24[#Data],9,FALSE))</f>
        <v>X</v>
      </c>
      <c r="K218" s="12" t="s">
        <v>135</v>
      </c>
    </row>
    <row r="219" spans="1:11" x14ac:dyDescent="0.25">
      <c r="A219" s="46" t="s">
        <v>182</v>
      </c>
      <c r="B219" t="s">
        <v>207</v>
      </c>
      <c r="C219" t="str">
        <f>VLOOKUP(LEFT($B219,8),[1]!Table24[#Data],2,FALSE)</f>
        <v>Programming Methodology I</v>
      </c>
      <c r="D219" s="48">
        <f>VLOOKUP(LEFT($B219,8),[1]!Table24[#Data],3,FALSE)</f>
        <v>3</v>
      </c>
      <c r="E219" t="str">
        <f>IF(VLOOKUP(LEFT($B219,8),[1]!Table24[#Data],4,FALSE)=0,"",VLOOKUP(LEFT($B219,8),[1]!Table24[#Data],4,FALSE))</f>
        <v>MATH 204 (Cegep Mathematics 105)</v>
      </c>
      <c r="F219" t="str">
        <f>IF(VLOOKUP(LEFT($B219,8),[1]!Table24[#Data],5,FALSE)=0,"",VLOOKUP(LEFT($B219,8),[1]!Table24[#Data],5,FALSE))</f>
        <v/>
      </c>
      <c r="G219" s="23" t="str">
        <f>IF(VLOOKUP(LEFT($B219,8),[1]!Table24[#Data],6,FALSE)=0,"",VLOOKUP(LEFT($B219,8),[1]!Table24[#Data],6,FALSE))</f>
        <v>X</v>
      </c>
      <c r="H219" s="23" t="str">
        <f>IF(VLOOKUP(LEFT($B219,8),[1]!Table24[#Data],7,FALSE)=0,"",VLOOKUP(LEFT($B219,8),[1]!Table24[#Data],7,FALSE))</f>
        <v/>
      </c>
      <c r="I219" s="23" t="str">
        <f>IF(VLOOKUP(LEFT($B219,8),[1]!Table24[#Data],8,FALSE)=0,"",VLOOKUP(LEFT($B219,8),[1]!Table24[#Data],8,FALSE))</f>
        <v>X</v>
      </c>
      <c r="J219" s="23" t="str">
        <f>IF(VLOOKUP(LEFT($B219,8),[1]!Table24[#Data],9,FALSE)=0,"",VLOOKUP(LEFT($B219,8),[1]!Table24[#Data],9,FALSE))</f>
        <v>X</v>
      </c>
      <c r="K219" s="12" t="s">
        <v>135</v>
      </c>
    </row>
    <row r="220" spans="1:11" x14ac:dyDescent="0.25">
      <c r="A220" s="46" t="s">
        <v>182</v>
      </c>
      <c r="B220" t="s">
        <v>208</v>
      </c>
      <c r="C220" t="str">
        <f>VLOOKUP(LEFT($B220,8),[1]!Table24[#Data],2,FALSE)</f>
        <v>Programming Methodology II</v>
      </c>
      <c r="D220" s="48">
        <f>VLOOKUP(LEFT($B220,8),[1]!Table24[#Data],3,FALSE)</f>
        <v>3</v>
      </c>
      <c r="E220" t="str">
        <f>IF(VLOOKUP(LEFT($B220,8),[1]!Table24[#Data],4,FALSE)=0,"",VLOOKUP(LEFT($B220,8),[1]!Table24[#Data],4,FALSE))</f>
        <v>COEN 243 or MECH 215 or MIAE 215</v>
      </c>
      <c r="F220" t="str">
        <f>IF(VLOOKUP(LEFT($B220,8),[1]!Table24[#Data],5,FALSE)=0,"",VLOOKUP(LEFT($B220,8),[1]!Table24[#Data],5,FALSE))</f>
        <v/>
      </c>
      <c r="G220" s="23" t="str">
        <f>IF(VLOOKUP(LEFT($B220,8),[1]!Table24[#Data],6,FALSE)=0,"",VLOOKUP(LEFT($B220,8),[1]!Table24[#Data],6,FALSE))</f>
        <v>X</v>
      </c>
      <c r="H220" s="23" t="str">
        <f>IF(VLOOKUP(LEFT($B220,8),[1]!Table24[#Data],7,FALSE)=0,"",VLOOKUP(LEFT($B220,8),[1]!Table24[#Data],7,FALSE))</f>
        <v/>
      </c>
      <c r="I220" s="23" t="str">
        <f>IF(VLOOKUP(LEFT($B220,8),[1]!Table24[#Data],8,FALSE)=0,"",VLOOKUP(LEFT($B220,8),[1]!Table24[#Data],8,FALSE))</f>
        <v>X</v>
      </c>
      <c r="J220" s="23" t="str">
        <f>IF(VLOOKUP(LEFT($B220,8),[1]!Table24[#Data],9,FALSE)=0,"",VLOOKUP(LEFT($B220,8),[1]!Table24[#Data],9,FALSE))</f>
        <v>X</v>
      </c>
      <c r="K220" s="12" t="s">
        <v>135</v>
      </c>
    </row>
    <row r="221" spans="1:11" x14ac:dyDescent="0.25">
      <c r="A221" s="46" t="s">
        <v>182</v>
      </c>
      <c r="B221" t="s">
        <v>209</v>
      </c>
      <c r="C221" t="str">
        <f>VLOOKUP(LEFT($B221,8),[1]!Table24[#Data],2,FALSE)</f>
        <v>Computer Organization and Software</v>
      </c>
      <c r="D221" s="48">
        <f>VLOOKUP(LEFT($B221,8),[1]!Table24[#Data],3,FALSE)</f>
        <v>3.5</v>
      </c>
      <c r="E221" t="str">
        <f>IF(VLOOKUP(LEFT($B221,8),[1]!Table24[#Data],4,FALSE)=0,"",VLOOKUP(LEFT($B221,8),[1]!Table24[#Data],4,FALSE))</f>
        <v>COEN 212, COEN 243</v>
      </c>
      <c r="F221" t="str">
        <f>IF(VLOOKUP(LEFT($B221,8),[1]!Table24[#Data],5,FALSE)=0,"",VLOOKUP(LEFT($B221,8),[1]!Table24[#Data],5,FALSE))</f>
        <v/>
      </c>
      <c r="G221" s="23" t="str">
        <f>IF(VLOOKUP(LEFT($B221,8),[1]!Table24[#Data],6,FALSE)=0,"",VLOOKUP(LEFT($B221,8),[1]!Table24[#Data],6,FALSE))</f>
        <v>X</v>
      </c>
      <c r="H221" s="23" t="str">
        <f>IF(VLOOKUP(LEFT($B221,8),[1]!Table24[#Data],7,FALSE)=0,"",VLOOKUP(LEFT($B221,8),[1]!Table24[#Data],7,FALSE))</f>
        <v/>
      </c>
      <c r="I221" s="23" t="str">
        <f>IF(VLOOKUP(LEFT($B221,8),[1]!Table24[#Data],8,FALSE)=0,"",VLOOKUP(LEFT($B221,8),[1]!Table24[#Data],8,FALSE))</f>
        <v>X</v>
      </c>
      <c r="J221" s="23" t="str">
        <f>IF(VLOOKUP(LEFT($B221,8),[1]!Table24[#Data],9,FALSE)=0,"",VLOOKUP(LEFT($B221,8),[1]!Table24[#Data],9,FALSE))</f>
        <v>X</v>
      </c>
      <c r="K221" s="12" t="s">
        <v>135</v>
      </c>
    </row>
    <row r="222" spans="1:11" x14ac:dyDescent="0.25">
      <c r="A222" s="46" t="s">
        <v>182</v>
      </c>
      <c r="B222" t="s">
        <v>210</v>
      </c>
      <c r="C222" t="str">
        <f>VLOOKUP(LEFT($B222,8),[1]!Table24[#Data],2,FALSE)</f>
        <v>Data Structures and Algorithms</v>
      </c>
      <c r="D222" s="48">
        <f>VLOOKUP(LEFT($B222,8),[1]!Table24[#Data],3,FALSE)</f>
        <v>3</v>
      </c>
      <c r="E222" t="str">
        <f>IF(VLOOKUP(LEFT($B222,8),[1]!Table24[#Data],4,FALSE)=0,"",VLOOKUP(LEFT($B222,8),[1]!Table24[#Data],4,FALSE))</f>
        <v>COEN 231, COEN 244</v>
      </c>
      <c r="F222" t="str">
        <f>IF(VLOOKUP(LEFT($B222,8),[1]!Table24[#Data],5,FALSE)=0,"",VLOOKUP(LEFT($B222,8),[1]!Table24[#Data],5,FALSE))</f>
        <v/>
      </c>
      <c r="G222" s="23" t="str">
        <f>IF(VLOOKUP(LEFT($B222,8),[1]!Table24[#Data],6,FALSE)=0,"",VLOOKUP(LEFT($B222,8),[1]!Table24[#Data],6,FALSE))</f>
        <v/>
      </c>
      <c r="H222" s="23" t="str">
        <f>IF(VLOOKUP(LEFT($B222,8),[1]!Table24[#Data],7,FALSE)=0,"",VLOOKUP(LEFT($B222,8),[1]!Table24[#Data],7,FALSE))</f>
        <v/>
      </c>
      <c r="I222" s="23" t="str">
        <f>IF(VLOOKUP(LEFT($B222,8),[1]!Table24[#Data],8,FALSE)=0,"",VLOOKUP(LEFT($B222,8),[1]!Table24[#Data],8,FALSE))</f>
        <v>X</v>
      </c>
      <c r="J222" s="23" t="str">
        <f>IF(VLOOKUP(LEFT($B222,8),[1]!Table24[#Data],9,FALSE)=0,"",VLOOKUP(LEFT($B222,8),[1]!Table24[#Data],9,FALSE))</f>
        <v>X</v>
      </c>
      <c r="K222" s="12" t="s">
        <v>135</v>
      </c>
    </row>
    <row r="223" spans="1:11" x14ac:dyDescent="0.25">
      <c r="A223" s="46" t="s">
        <v>182</v>
      </c>
      <c r="B223" t="s">
        <v>211</v>
      </c>
      <c r="C223" t="str">
        <f>VLOOKUP(LEFT($B223,8),[1]!Table24[#Data],2,FALSE)</f>
        <v>Continuous‑Time Signals and Systems</v>
      </c>
      <c r="D223" s="48">
        <f>VLOOKUP(LEFT($B223,8),[1]!Table24[#Data],3,FALSE)</f>
        <v>3</v>
      </c>
      <c r="E223" t="str">
        <f>IF(VLOOKUP(LEFT($B223,8),[1]!Table24[#Data],4,FALSE)=0,"",VLOOKUP(LEFT($B223,8),[1]!Table24[#Data],4,FALSE))</f>
        <v>ELEC 273; ENGR 213</v>
      </c>
      <c r="F223" t="str">
        <f>IF(VLOOKUP(LEFT($B223,8),[1]!Table24[#Data],5,FALSE)=0,"",VLOOKUP(LEFT($B223,8),[1]!Table24[#Data],5,FALSE))</f>
        <v/>
      </c>
      <c r="G223" s="23" t="str">
        <f>IF(VLOOKUP(LEFT($B223,8),[1]!Table24[#Data],6,FALSE)=0,"",VLOOKUP(LEFT($B223,8),[1]!Table24[#Data],6,FALSE))</f>
        <v>X</v>
      </c>
      <c r="H223" s="23" t="str">
        <f>IF(VLOOKUP(LEFT($B223,8),[1]!Table24[#Data],7,FALSE)=0,"",VLOOKUP(LEFT($B223,8),[1]!Table24[#Data],7,FALSE))</f>
        <v/>
      </c>
      <c r="I223" s="23" t="str">
        <f>IF(VLOOKUP(LEFT($B223,8),[1]!Table24[#Data],8,FALSE)=0,"",VLOOKUP(LEFT($B223,8),[1]!Table24[#Data],8,FALSE))</f>
        <v>X</v>
      </c>
      <c r="J223" s="23" t="str">
        <f>IF(VLOOKUP(LEFT($B223,8),[1]!Table24[#Data],9,FALSE)=0,"",VLOOKUP(LEFT($B223,8),[1]!Table24[#Data],9,FALSE))</f>
        <v>X</v>
      </c>
      <c r="K223" s="12" t="s">
        <v>135</v>
      </c>
    </row>
    <row r="224" spans="1:11" x14ac:dyDescent="0.25">
      <c r="A224" s="46" t="s">
        <v>182</v>
      </c>
      <c r="B224" t="s">
        <v>212</v>
      </c>
      <c r="C224" t="str">
        <f>VLOOKUP(LEFT($B224,8),[1]!Table24[#Data],2,FALSE)</f>
        <v>Basic Circuit Analysis</v>
      </c>
      <c r="D224" s="48">
        <f>VLOOKUP(LEFT($B224,8),[1]!Table24[#Data],3,FALSE)</f>
        <v>3.5</v>
      </c>
      <c r="E224" t="str">
        <f>IF(VLOOKUP(LEFT($B224,8),[1]!Table24[#Data],4,FALSE)=0,"",VLOOKUP(LEFT($B224,8),[1]!Table24[#Data],4,FALSE))</f>
        <v>ENGR 213; PHYS 205</v>
      </c>
      <c r="F224" t="str">
        <f>IF(VLOOKUP(LEFT($B224,8),[1]!Table24[#Data],5,FALSE)=0,"",VLOOKUP(LEFT($B224,8),[1]!Table24[#Data],5,FALSE))</f>
        <v/>
      </c>
      <c r="G224" s="23" t="str">
        <f>IF(VLOOKUP(LEFT($B224,8),[1]!Table24[#Data],6,FALSE)=0,"",VLOOKUP(LEFT($B224,8),[1]!Table24[#Data],6,FALSE))</f>
        <v>X</v>
      </c>
      <c r="H224" s="23" t="str">
        <f>IF(VLOOKUP(LEFT($B224,8),[1]!Table24[#Data],7,FALSE)=0,"",VLOOKUP(LEFT($B224,8),[1]!Table24[#Data],7,FALSE))</f>
        <v/>
      </c>
      <c r="I224" s="23" t="str">
        <f>IF(VLOOKUP(LEFT($B224,8),[1]!Table24[#Data],8,FALSE)=0,"",VLOOKUP(LEFT($B224,8),[1]!Table24[#Data],8,FALSE))</f>
        <v>X</v>
      </c>
      <c r="J224" s="23" t="str">
        <f>IF(VLOOKUP(LEFT($B224,8),[1]!Table24[#Data],9,FALSE)=0,"",VLOOKUP(LEFT($B224,8),[1]!Table24[#Data],9,FALSE))</f>
        <v>X</v>
      </c>
      <c r="K224" s="12" t="s">
        <v>135</v>
      </c>
    </row>
    <row r="225" spans="1:11" x14ac:dyDescent="0.25">
      <c r="A225" s="46" t="s">
        <v>182</v>
      </c>
      <c r="B225" t="s">
        <v>213</v>
      </c>
      <c r="C225" t="str">
        <f>VLOOKUP(LEFT($B225,8),[1]!Table24[#Data],2,FALSE)</f>
        <v>Discrete‑Time Signals and Systems</v>
      </c>
      <c r="D225" s="48">
        <f>VLOOKUP(LEFT($B225,8),[1]!Table24[#Data],3,FALSE)</f>
        <v>3.5</v>
      </c>
      <c r="E225" t="str">
        <f>IF(VLOOKUP(LEFT($B225,8),[1]!Table24[#Data],4,FALSE)=0,"",VLOOKUP(LEFT($B225,8),[1]!Table24[#Data],4,FALSE))</f>
        <v>ELEC 242 or ELEC 264</v>
      </c>
      <c r="F225" t="str">
        <f>IF(VLOOKUP(LEFT($B225,8),[1]!Table24[#Data],5,FALSE)=0,"",VLOOKUP(LEFT($B225,8),[1]!Table24[#Data],5,FALSE))</f>
        <v/>
      </c>
      <c r="G225" s="23" t="str">
        <f>IF(VLOOKUP(LEFT($B225,8),[1]!Table24[#Data],6,FALSE)=0,"",VLOOKUP(LEFT($B225,8),[1]!Table24[#Data],6,FALSE))</f>
        <v>X</v>
      </c>
      <c r="H225" s="23" t="str">
        <f>IF(VLOOKUP(LEFT($B225,8),[1]!Table24[#Data],7,FALSE)=0,"",VLOOKUP(LEFT($B225,8),[1]!Table24[#Data],7,FALSE))</f>
        <v/>
      </c>
      <c r="I225" s="23" t="str">
        <f>IF(VLOOKUP(LEFT($B225,8),[1]!Table24[#Data],8,FALSE)=0,"",VLOOKUP(LEFT($B225,8),[1]!Table24[#Data],8,FALSE))</f>
        <v>X</v>
      </c>
      <c r="J225" s="23" t="str">
        <f>IF(VLOOKUP(LEFT($B225,8),[1]!Table24[#Data],9,FALSE)=0,"",VLOOKUP(LEFT($B225,8),[1]!Table24[#Data],9,FALSE))</f>
        <v>X</v>
      </c>
      <c r="K225" s="12" t="s">
        <v>135</v>
      </c>
    </row>
    <row r="226" spans="1:11" x14ac:dyDescent="0.25">
      <c r="A226" s="46" t="s">
        <v>182</v>
      </c>
      <c r="B226" t="s">
        <v>222</v>
      </c>
      <c r="C226" t="str">
        <f>VLOOKUP(LEFT($B226,8),[1]!Table24[#Data],2,FALSE)</f>
        <v xml:space="preserve">Linear Systems </v>
      </c>
      <c r="D226" s="48">
        <f>VLOOKUP(LEFT($B226,8),[1]!Table24[#Data],3,FALSE)</f>
        <v>3.5</v>
      </c>
      <c r="E226" t="str">
        <f>IF(VLOOKUP(LEFT($B226,8),[1]!Table24[#Data],4,FALSE)=0,"",VLOOKUP(LEFT($B226,8),[1]!Table24[#Data],4,FALSE))</f>
        <v>AERO 371 or ELEC 372 or MECH 371</v>
      </c>
      <c r="F226" t="str">
        <f>IF(VLOOKUP(LEFT($B226,8),[1]!Table24[#Data],5,FALSE)=0,"",VLOOKUP(LEFT($B226,8),[1]!Table24[#Data],5,FALSE))</f>
        <v/>
      </c>
      <c r="G226" s="23" t="str">
        <f>IF(VLOOKUP(LEFT($B226,8),[1]!Table24[#Data],6,FALSE)=0,"",VLOOKUP(LEFT($B226,8),[1]!Table24[#Data],6,FALSE))</f>
        <v/>
      </c>
      <c r="H226" s="23" t="str">
        <f>IF(VLOOKUP(LEFT($B226,8),[1]!Table24[#Data],7,FALSE)=0,"",VLOOKUP(LEFT($B226,8),[1]!Table24[#Data],7,FALSE))</f>
        <v/>
      </c>
      <c r="I226" s="23" t="str">
        <f>IF(VLOOKUP(LEFT($B226,8),[1]!Table24[#Data],8,FALSE)=0,"",VLOOKUP(LEFT($B226,8),[1]!Table24[#Data],8,FALSE))</f>
        <v>X</v>
      </c>
      <c r="J226" s="23" t="str">
        <f>IF(VLOOKUP(LEFT($B226,8),[1]!Table24[#Data],9,FALSE)=0,"",VLOOKUP(LEFT($B226,8),[1]!Table24[#Data],9,FALSE))</f>
        <v/>
      </c>
      <c r="K226" s="12" t="s">
        <v>135</v>
      </c>
    </row>
    <row r="227" spans="1:11" x14ac:dyDescent="0.25">
      <c r="A227" s="46" t="s">
        <v>182</v>
      </c>
      <c r="B227" t="s">
        <v>214</v>
      </c>
      <c r="C227" t="str">
        <f>VLOOKUP(LEFT($B227,8),[1]!Table24[#Data],2,FALSE)</f>
        <v>Real‑Time Computer Control Systems</v>
      </c>
      <c r="D227" s="48">
        <f>VLOOKUP(LEFT($B227,8),[1]!Table24[#Data],3,FALSE)</f>
        <v>3.5</v>
      </c>
      <c r="E227" t="str">
        <f>IF(VLOOKUP(LEFT($B227,8),[1]!Table24[#Data],4,FALSE)=0,"",VLOOKUP(LEFT($B227,8),[1]!Table24[#Data],4,FALSE))</f>
        <v>AERO 371 or ELEC 372; ELEC 342 or ELEC 364</v>
      </c>
      <c r="F227" t="str">
        <f>IF(VLOOKUP(LEFT($B227,8),[1]!Table24[#Data],5,FALSE)=0,"",VLOOKUP(LEFT($B227,8),[1]!Table24[#Data],5,FALSE))</f>
        <v/>
      </c>
      <c r="G227" s="23" t="str">
        <f>IF(VLOOKUP(LEFT($B227,8),[1]!Table24[#Data],6,FALSE)=0,"",VLOOKUP(LEFT($B227,8),[1]!Table24[#Data],6,FALSE))</f>
        <v/>
      </c>
      <c r="H227" s="23" t="str">
        <f>IF(VLOOKUP(LEFT($B227,8),[1]!Table24[#Data],7,FALSE)=0,"",VLOOKUP(LEFT($B227,8),[1]!Table24[#Data],7,FALSE))</f>
        <v/>
      </c>
      <c r="I227" s="23" t="str">
        <f>IF(VLOOKUP(LEFT($B227,8),[1]!Table24[#Data],8,FALSE)=0,"",VLOOKUP(LEFT($B227,8),[1]!Table24[#Data],8,FALSE))</f>
        <v/>
      </c>
      <c r="J227" s="23" t="str">
        <f>IF(VLOOKUP(LEFT($B227,8),[1]!Table24[#Data],9,FALSE)=0,"",VLOOKUP(LEFT($B227,8),[1]!Table24[#Data],9,FALSE))</f>
        <v>X</v>
      </c>
      <c r="K227" s="12" t="s">
        <v>135</v>
      </c>
    </row>
    <row r="228" spans="1:11" x14ac:dyDescent="0.25">
      <c r="A228" s="46" t="s">
        <v>182</v>
      </c>
      <c r="B228" t="s">
        <v>215</v>
      </c>
      <c r="C228" t="str">
        <f>VLOOKUP(LEFT($B228,8),[1]!Table24[#Data],2,FALSE)</f>
        <v>Software Process</v>
      </c>
      <c r="D228" s="48">
        <f>VLOOKUP(LEFT($B228,8),[1]!Table24[#Data],3,FALSE)</f>
        <v>4</v>
      </c>
      <c r="E228" t="str">
        <f>IF(VLOOKUP(LEFT($B228,8),[1]!Table24[#Data],4,FALSE)=0,"",VLOOKUP(LEFT($B228,8),[1]!Table24[#Data],4,FALSE))</f>
        <v>COMP 352 or COEN 352; ENCS 282</v>
      </c>
      <c r="F228" t="str">
        <f>IF(VLOOKUP(LEFT($B228,8),[1]!Table24[#Data],5,FALSE)=0,"",VLOOKUP(LEFT($B228,8),[1]!Table24[#Data],5,FALSE))</f>
        <v/>
      </c>
      <c r="G228" s="23" t="str">
        <f>IF(VLOOKUP(LEFT($B228,8),[1]!Table24[#Data],6,FALSE)=0,"",VLOOKUP(LEFT($B228,8),[1]!Table24[#Data],6,FALSE))</f>
        <v/>
      </c>
      <c r="H228" s="23" t="str">
        <f>IF(VLOOKUP(LEFT($B228,8),[1]!Table24[#Data],7,FALSE)=0,"",VLOOKUP(LEFT($B228,8),[1]!Table24[#Data],7,FALSE))</f>
        <v/>
      </c>
      <c r="I228" s="23" t="str">
        <f>IF(VLOOKUP(LEFT($B228,8),[1]!Table24[#Data],8,FALSE)=0,"",VLOOKUP(LEFT($B228,8),[1]!Table24[#Data],8,FALSE))</f>
        <v>X</v>
      </c>
      <c r="J228" s="23" t="str">
        <f>IF(VLOOKUP(LEFT($B228,8),[1]!Table24[#Data],9,FALSE)=0,"",VLOOKUP(LEFT($B228,8),[1]!Table24[#Data],9,FALSE))</f>
        <v>X</v>
      </c>
      <c r="K228" s="12" t="s">
        <v>135</v>
      </c>
    </row>
    <row r="229" spans="1:11" x14ac:dyDescent="0.25">
      <c r="A229" s="46" t="s">
        <v>182</v>
      </c>
      <c r="B229" t="s">
        <v>216</v>
      </c>
      <c r="C229" t="s">
        <v>219</v>
      </c>
      <c r="D229" s="48">
        <v>3</v>
      </c>
      <c r="G229" s="23" t="s">
        <v>45</v>
      </c>
      <c r="H229" s="23" t="s">
        <v>45</v>
      </c>
      <c r="I229" s="23" t="s">
        <v>45</v>
      </c>
      <c r="J229" s="23" t="s">
        <v>45</v>
      </c>
      <c r="K229" s="23" t="s">
        <v>150</v>
      </c>
    </row>
    <row r="230" spans="1:11" x14ac:dyDescent="0.25">
      <c r="A230" s="46" t="s">
        <v>182</v>
      </c>
      <c r="B230" t="s">
        <v>217</v>
      </c>
      <c r="C230" t="s">
        <v>221</v>
      </c>
      <c r="D230" s="48">
        <v>3</v>
      </c>
      <c r="G230" s="23" t="s">
        <v>45</v>
      </c>
      <c r="H230" s="23" t="s">
        <v>45</v>
      </c>
      <c r="I230" s="23" t="s">
        <v>45</v>
      </c>
      <c r="J230" s="23" t="s">
        <v>45</v>
      </c>
      <c r="K230" s="23" t="s">
        <v>150</v>
      </c>
    </row>
    <row r="231" spans="1:11" x14ac:dyDescent="0.25">
      <c r="A231" s="46" t="s">
        <v>182</v>
      </c>
      <c r="B231" t="s">
        <v>218</v>
      </c>
      <c r="C231" t="s">
        <v>220</v>
      </c>
      <c r="D231" s="48">
        <v>3</v>
      </c>
      <c r="G231" s="23" t="s">
        <v>45</v>
      </c>
      <c r="H231" s="23" t="s">
        <v>45</v>
      </c>
      <c r="I231" s="23" t="s">
        <v>45</v>
      </c>
      <c r="J231" s="23" t="s">
        <v>45</v>
      </c>
      <c r="K231" s="23" t="s">
        <v>150</v>
      </c>
    </row>
    <row r="232" spans="1:11" ht="16.5" customHeight="1" x14ac:dyDescent="0.25">
      <c r="A232" s="46" t="s">
        <v>182</v>
      </c>
      <c r="B232" s="13" t="s">
        <v>161</v>
      </c>
      <c r="D232" s="18">
        <v>16</v>
      </c>
      <c r="E232" t="s">
        <v>164</v>
      </c>
      <c r="G232" s="12" t="s">
        <v>45</v>
      </c>
      <c r="I232" s="12" t="s">
        <v>45</v>
      </c>
      <c r="J232" s="12" t="s">
        <v>45</v>
      </c>
      <c r="K232" t="s">
        <v>165</v>
      </c>
    </row>
    <row r="233" spans="1:11" x14ac:dyDescent="0.25">
      <c r="A233" s="46" t="s">
        <v>182</v>
      </c>
      <c r="B233" s="19" t="s">
        <v>162</v>
      </c>
      <c r="D233" s="20">
        <v>16</v>
      </c>
      <c r="E233" t="s">
        <v>161</v>
      </c>
      <c r="G233" s="12" t="s">
        <v>45</v>
      </c>
      <c r="I233" s="12" t="s">
        <v>45</v>
      </c>
      <c r="J233" s="12" t="s">
        <v>45</v>
      </c>
      <c r="K233" t="s">
        <v>165</v>
      </c>
    </row>
    <row r="234" spans="1:11" x14ac:dyDescent="0.25">
      <c r="A234" s="46" t="s">
        <v>182</v>
      </c>
      <c r="B234" s="13" t="s">
        <v>163</v>
      </c>
      <c r="D234" s="18">
        <v>16</v>
      </c>
      <c r="E234" t="s">
        <v>162</v>
      </c>
      <c r="G234" s="12" t="s">
        <v>45</v>
      </c>
      <c r="I234" s="12" t="s">
        <v>45</v>
      </c>
      <c r="J234" s="12" t="s">
        <v>45</v>
      </c>
      <c r="K234" t="s">
        <v>165</v>
      </c>
    </row>
    <row r="235" spans="1:11" ht="16.5" customHeight="1" x14ac:dyDescent="0.25">
      <c r="A235" s="42" t="s">
        <v>181</v>
      </c>
      <c r="B235" s="13" t="s">
        <v>161</v>
      </c>
      <c r="D235" s="18">
        <v>16</v>
      </c>
      <c r="E235" t="s">
        <v>164</v>
      </c>
      <c r="G235" s="12" t="s">
        <v>45</v>
      </c>
      <c r="I235" s="12" t="s">
        <v>45</v>
      </c>
      <c r="J235" s="12" t="s">
        <v>45</v>
      </c>
      <c r="K235" t="s">
        <v>165</v>
      </c>
    </row>
    <row r="236" spans="1:11" x14ac:dyDescent="0.25">
      <c r="A236" s="42" t="s">
        <v>181</v>
      </c>
      <c r="B236" s="19" t="s">
        <v>162</v>
      </c>
      <c r="D236" s="20">
        <v>16</v>
      </c>
      <c r="E236" t="s">
        <v>161</v>
      </c>
      <c r="G236" s="12" t="s">
        <v>45</v>
      </c>
      <c r="I236" s="12" t="s">
        <v>45</v>
      </c>
      <c r="J236" s="12" t="s">
        <v>45</v>
      </c>
      <c r="K236" t="s">
        <v>165</v>
      </c>
    </row>
    <row r="237" spans="1:11" x14ac:dyDescent="0.25">
      <c r="A237" s="42" t="s">
        <v>181</v>
      </c>
      <c r="B237" s="13" t="s">
        <v>163</v>
      </c>
      <c r="D237" s="18">
        <v>16</v>
      </c>
      <c r="E237" t="s">
        <v>162</v>
      </c>
      <c r="G237" s="12" t="s">
        <v>45</v>
      </c>
      <c r="I237" s="12" t="s">
        <v>45</v>
      </c>
      <c r="J237" s="12" t="s">
        <v>45</v>
      </c>
      <c r="K237" t="s">
        <v>165</v>
      </c>
    </row>
    <row r="238" spans="1:11" ht="16.5" customHeight="1" x14ac:dyDescent="0.25">
      <c r="A238" s="56" t="s">
        <v>180</v>
      </c>
      <c r="B238" s="13" t="s">
        <v>161</v>
      </c>
      <c r="D238" s="18">
        <v>16</v>
      </c>
      <c r="E238" t="s">
        <v>164</v>
      </c>
      <c r="G238" s="12" t="s">
        <v>45</v>
      </c>
      <c r="I238" s="12" t="s">
        <v>45</v>
      </c>
      <c r="J238" s="12" t="s">
        <v>45</v>
      </c>
      <c r="K238" t="s">
        <v>165</v>
      </c>
    </row>
    <row r="239" spans="1:11" x14ac:dyDescent="0.25">
      <c r="A239" s="56" t="s">
        <v>180</v>
      </c>
      <c r="B239" s="19" t="s">
        <v>162</v>
      </c>
      <c r="D239" s="20">
        <v>16</v>
      </c>
      <c r="E239" t="s">
        <v>161</v>
      </c>
      <c r="G239" s="12" t="s">
        <v>45</v>
      </c>
      <c r="I239" s="12" t="s">
        <v>45</v>
      </c>
      <c r="J239" s="12" t="s">
        <v>45</v>
      </c>
      <c r="K239" t="s">
        <v>165</v>
      </c>
    </row>
    <row r="240" spans="1:11" x14ac:dyDescent="0.25">
      <c r="A240" s="56" t="s">
        <v>180</v>
      </c>
      <c r="B240" s="13" t="s">
        <v>163</v>
      </c>
      <c r="D240" s="18">
        <v>16</v>
      </c>
      <c r="E240" t="s">
        <v>162</v>
      </c>
      <c r="G240" s="12" t="s">
        <v>45</v>
      </c>
      <c r="I240" s="12" t="s">
        <v>45</v>
      </c>
      <c r="J240" s="12" t="s">
        <v>45</v>
      </c>
      <c r="K240" t="s">
        <v>165</v>
      </c>
    </row>
  </sheetData>
  <autoFilter ref="A1:K133" xr:uid="{00000000-0001-0000-0000-000000000000}">
    <sortState xmlns:xlrd2="http://schemas.microsoft.com/office/spreadsheetml/2017/richdata2" ref="A2:K96">
      <sortCondition ref="A1:A133"/>
    </sortState>
  </autoFilter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2026-02-24T23:50:17Z</dcterms:modified>
</cp:coreProperties>
</file>